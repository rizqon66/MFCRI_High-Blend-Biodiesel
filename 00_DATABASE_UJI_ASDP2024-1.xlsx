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JECT 2024\FILTER-BPDPKS\UJI LAB\"/>
    </mc:Choice>
  </mc:AlternateContent>
  <xr:revisionPtr revIDLastSave="0" documentId="13_ncr:1_{4995E498-22EF-401B-87B2-6FFF1C23E934}" xr6:coauthVersionLast="47" xr6:coauthVersionMax="47" xr10:uidLastSave="{00000000-0000-0000-0000-000000000000}"/>
  <bookViews>
    <workbookView xWindow="-110" yWindow="-110" windowWidth="19420" windowHeight="10420" tabRatio="224" xr2:uid="{63E93F15-041E-4BD2-8498-386108902302}"/>
  </bookViews>
  <sheets>
    <sheet name="DB_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54" i="1" l="1"/>
</calcChain>
</file>

<file path=xl/sharedStrings.xml><?xml version="1.0" encoding="utf-8"?>
<sst xmlns="http://schemas.openxmlformats.org/spreadsheetml/2006/main" count="738" uniqueCount="189">
  <si>
    <t>No</t>
  </si>
  <si>
    <t>Sample Id</t>
  </si>
  <si>
    <t>TAN</t>
  </si>
  <si>
    <t>%FAME</t>
  </si>
  <si>
    <t>Glycerol 
Content</t>
  </si>
  <si>
    <t>DT-KMP LGD</t>
  </si>
  <si>
    <t>SO-KMP LGD</t>
  </si>
  <si>
    <t>DT-KMP PRL5</t>
  </si>
  <si>
    <t>SO-KMP PRL5</t>
  </si>
  <si>
    <t>SPBBK</t>
  </si>
  <si>
    <t>S. Note</t>
  </si>
  <si>
    <t>CKL #01</t>
  </si>
  <si>
    <t>MT-A</t>
  </si>
  <si>
    <t>CKL #02</t>
  </si>
  <si>
    <t>MT-B</t>
  </si>
  <si>
    <t>CKL #03</t>
  </si>
  <si>
    <t>DT</t>
  </si>
  <si>
    <t>CKL #04</t>
  </si>
  <si>
    <t>FS</t>
  </si>
  <si>
    <t>CCT #01</t>
  </si>
  <si>
    <t>MTL-A</t>
  </si>
  <si>
    <t>CCT #02</t>
  </si>
  <si>
    <t>MTL-B</t>
  </si>
  <si>
    <t>CCT #03</t>
  </si>
  <si>
    <t>MTR-A</t>
  </si>
  <si>
    <t>CCT #04</t>
  </si>
  <si>
    <t>MTR-B</t>
  </si>
  <si>
    <t>CCT #05</t>
  </si>
  <si>
    <t>KMD #01</t>
  </si>
  <si>
    <t>KMD #02</t>
  </si>
  <si>
    <t>KMD #03</t>
  </si>
  <si>
    <t>KMD #04</t>
  </si>
  <si>
    <t>KMD #05</t>
  </si>
  <si>
    <t>Water 
Content</t>
  </si>
  <si>
    <t>TMI #1</t>
  </si>
  <si>
    <t>TMI #2</t>
  </si>
  <si>
    <t>TMI #3</t>
  </si>
  <si>
    <t>TMI #4</t>
  </si>
  <si>
    <t>Drain DT</t>
  </si>
  <si>
    <t>TMI #5</t>
  </si>
  <si>
    <t>Prefilter</t>
  </si>
  <si>
    <t>TMI #6</t>
  </si>
  <si>
    <t>Main Engine</t>
  </si>
  <si>
    <t>WYG #1</t>
  </si>
  <si>
    <t>WYG #2</t>
  </si>
  <si>
    <t>WYG #3</t>
  </si>
  <si>
    <t>WYG #4</t>
  </si>
  <si>
    <t>WYG #5</t>
  </si>
  <si>
    <t>INK #1</t>
  </si>
  <si>
    <t>INK #2</t>
  </si>
  <si>
    <t>INK #3</t>
  </si>
  <si>
    <t>INK #4</t>
  </si>
  <si>
    <t>INK #5</t>
  </si>
  <si>
    <t>Drain Prefilt.</t>
  </si>
  <si>
    <t>INK #6</t>
  </si>
  <si>
    <t>TBK #1</t>
  </si>
  <si>
    <t>TBK #2</t>
  </si>
  <si>
    <t>TBK #3</t>
  </si>
  <si>
    <t>TBK #4</t>
  </si>
  <si>
    <t>TBK #5</t>
  </si>
  <si>
    <t>TBK #6</t>
  </si>
  <si>
    <t>Truck Tanki</t>
  </si>
  <si>
    <t>(mg KOH/g)</t>
  </si>
  <si>
    <t>ASTM D 6304</t>
  </si>
  <si>
    <t>ASTM D4294</t>
  </si>
  <si>
    <t xml:space="preserve">Sulfur 
</t>
  </si>
  <si>
    <t>ASTM D130</t>
  </si>
  <si>
    <t>ASTM D7463</t>
  </si>
  <si>
    <t xml:space="preserve">Biological Gowth </t>
  </si>
  <si>
    <t>ASTM D6217</t>
  </si>
  <si>
    <t>ASTM D1500</t>
  </si>
  <si>
    <t xml:space="preserve"> ISO 4406</t>
  </si>
  <si>
    <t xml:space="preserve"> ASTM D 7371 </t>
  </si>
  <si>
    <t>ASTM D 5185</t>
  </si>
  <si>
    <t xml:space="preserve"> ASTM D 6584</t>
  </si>
  <si>
    <t>Total Contaminant</t>
  </si>
  <si>
    <t>(ppm)</t>
  </si>
  <si>
    <t>(%m/m)</t>
  </si>
  <si>
    <t>(RLU)</t>
  </si>
  <si>
    <t>(hours)</t>
  </si>
  <si>
    <t>EN 1571-2014</t>
  </si>
  <si>
    <t>No.ASTM</t>
  </si>
  <si>
    <t xml:space="preserve">Sediment </t>
  </si>
  <si>
    <t>(counts/ml)</t>
  </si>
  <si>
    <t>-</t>
  </si>
  <si>
    <t>B35</t>
  </si>
  <si>
    <t>Min</t>
  </si>
  <si>
    <t>Max</t>
  </si>
  <si>
    <t>kg/m3</t>
  </si>
  <si>
    <t>mm2/s</t>
  </si>
  <si>
    <t>(% v/v)</t>
  </si>
  <si>
    <t>(% wt)</t>
  </si>
  <si>
    <t>ASTM D 1298</t>
  </si>
  <si>
    <t>ASTM D 445</t>
  </si>
  <si>
    <t>mg/L</t>
  </si>
  <si>
    <t>(Class)</t>
  </si>
  <si>
    <t>ASTM D473</t>
  </si>
  <si>
    <t>Long Note</t>
  </si>
  <si>
    <t>Microbial TPC</t>
  </si>
  <si>
    <t>Microbial Yeast &amp; Mold</t>
  </si>
  <si>
    <t>Density 
@ 15 deg C</t>
  </si>
  <si>
    <t>Viscosity 
@ 40 deg C</t>
  </si>
  <si>
    <t>SNI ISO 4833-2: 2015</t>
  </si>
  <si>
    <t>SNI ISO 21527: 2012</t>
  </si>
  <si>
    <t xml:space="preserve">Copper Strip Corrosion 
</t>
  </si>
  <si>
    <t>ASTM Color</t>
  </si>
  <si>
    <t>Oxidation Stability</t>
  </si>
  <si>
    <t>1a</t>
  </si>
  <si>
    <t>&gt;48</t>
  </si>
  <si>
    <t>Class 1</t>
  </si>
  <si>
    <t>SHIP Name</t>
  </si>
  <si>
    <t>PORT</t>
  </si>
  <si>
    <t>KMP TEMI</t>
  </si>
  <si>
    <t>KMP WAYANGAN</t>
  </si>
  <si>
    <t>KMP INELIKA</t>
  </si>
  <si>
    <t>KMP TERUBUK</t>
  </si>
  <si>
    <t>GALALA</t>
  </si>
  <si>
    <t>HUNIMUA</t>
  </si>
  <si>
    <t>SAMPLING POINT</t>
  </si>
  <si>
    <t>Main Tank Atas</t>
  </si>
  <si>
    <t xml:space="preserve">Main Tank Bawah </t>
  </si>
  <si>
    <t xml:space="preserve">Daily Tank </t>
  </si>
  <si>
    <t xml:space="preserve">Drain Daily tank </t>
  </si>
  <si>
    <t xml:space="preserve">Prefilter </t>
  </si>
  <si>
    <t xml:space="preserve">Main engine </t>
  </si>
  <si>
    <t xml:space="preserve">Daily Tank - outlet </t>
  </si>
  <si>
    <t xml:space="preserve">Drain Prefilter </t>
  </si>
  <si>
    <t xml:space="preserve">Daily Tank - drain </t>
  </si>
  <si>
    <t xml:space="preserve">Truck Tangki </t>
  </si>
  <si>
    <t>KMP KOMODO</t>
  </si>
  <si>
    <t>KMP CUCUT</t>
  </si>
  <si>
    <t>KMP CAKALANG</t>
  </si>
  <si>
    <t>KMP LEGUNDI</t>
  </si>
  <si>
    <t>KMP PORTLINK V</t>
  </si>
  <si>
    <t>MERAK</t>
  </si>
  <si>
    <t>Daily Tank</t>
  </si>
  <si>
    <t>Sampling Outlet Filter</t>
  </si>
  <si>
    <t>SPBBK/Truck</t>
  </si>
  <si>
    <t>Particle Count_4um</t>
  </si>
  <si>
    <t>ISO Code_14um</t>
  </si>
  <si>
    <t>Particle Count_6um</t>
  </si>
  <si>
    <t>ISO Code_4um</t>
  </si>
  <si>
    <t>Particle Count_14um</t>
  </si>
  <si>
    <t>ISO Code_6um</t>
  </si>
  <si>
    <t>&lt;0,1</t>
  </si>
  <si>
    <t>1.32</t>
  </si>
  <si>
    <t>0,13 (C)</t>
  </si>
  <si>
    <t>0,17 (C)</t>
  </si>
  <si>
    <t>(%)</t>
  </si>
  <si>
    <t xml:space="preserve"> ASTM D 664</t>
  </si>
  <si>
    <t>ND</t>
  </si>
  <si>
    <t>WWFC CATEGORY 2</t>
  </si>
  <si>
    <t xml:space="preserve">Zero </t>
  </si>
  <si>
    <t>CCT #06</t>
  </si>
  <si>
    <t>&gt;35</t>
  </si>
  <si>
    <t>&lt;1</t>
  </si>
  <si>
    <t>CFU/mL</t>
  </si>
  <si>
    <t>ICP_S</t>
  </si>
  <si>
    <t>ICP_Mn</t>
  </si>
  <si>
    <t>ICP_P</t>
  </si>
  <si>
    <t>ICP_V</t>
  </si>
  <si>
    <t>ICP_K</t>
  </si>
  <si>
    <t>ICP_Zn</t>
  </si>
  <si>
    <t>ICP_ Mg</t>
  </si>
  <si>
    <t>ICP_Ca</t>
  </si>
  <si>
    <t>ICP_Si</t>
  </si>
  <si>
    <t>ICP_Na</t>
  </si>
  <si>
    <t>ICP_Ni</t>
  </si>
  <si>
    <t>ICP_Al</t>
  </si>
  <si>
    <t>ICP_Cu</t>
  </si>
  <si>
    <t>ICP_ Fe</t>
  </si>
  <si>
    <t>ICP_Ag</t>
  </si>
  <si>
    <t>&lt;0.1</t>
  </si>
  <si>
    <t>Remark Petrolab</t>
  </si>
  <si>
    <t>Attention</t>
  </si>
  <si>
    <t>Urgent</t>
  </si>
  <si>
    <t>WWFC CATEGORY 1</t>
  </si>
  <si>
    <t>Biak</t>
  </si>
  <si>
    <t>SN64 #1</t>
  </si>
  <si>
    <t>MT</t>
  </si>
  <si>
    <t>PRL5 #1</t>
  </si>
  <si>
    <t>PRL5 #2</t>
  </si>
  <si>
    <t>LGD #1</t>
  </si>
  <si>
    <t xml:space="preserve">LGD #2 </t>
  </si>
  <si>
    <t>PRL5 #3</t>
  </si>
  <si>
    <t xml:space="preserve">Truck </t>
  </si>
  <si>
    <t>Group</t>
  </si>
  <si>
    <t>MT/DT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</si>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</sst>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0" xfId="0" quotePrefix="1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0" fillId="3" borderId="0" xfId="0" quotePrefix="1" applyFill="1" applyAlignment="1">
      <alignment horizontal="center"/>
    </xf>
    <xf numFmtId="0" fontId="0" fillId="4" borderId="0" xfId="0" quotePrefix="1" applyFill="1" applyAlignment="1">
      <alignment horizontal="center"/>
    </xf>
    <xf numFmtId="2" fontId="0" fillId="2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3" borderId="0" xfId="0" quotePrefix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0" fontId="4" fillId="2" borderId="3" xfId="0" applyFont="1" applyFill="1" applyBorder="1" applyAlignment="1">
      <alignment horizontal="center" wrapText="1"/>
    </xf>
    <xf numFmtId="2" fontId="0" fillId="2" borderId="3" xfId="0" applyNumberFormat="1" applyFill="1" applyBorder="1" applyAlignment="1">
      <alignment horizontal="center"/>
    </xf>
    <xf numFmtId="43" fontId="0" fillId="2" borderId="3" xfId="0" applyNumberFormat="1" applyFill="1" applyBorder="1" applyAlignment="1">
      <alignment horizontal="center"/>
    </xf>
    <xf numFmtId="0" fontId="0" fillId="2" borderId="3" xfId="0" applyFill="1" applyBorder="1"/>
    <xf numFmtId="164" fontId="4" fillId="2" borderId="3" xfId="0" applyNumberFormat="1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" xfId="0" applyFill="1" applyBorder="1"/>
    <xf numFmtId="0" fontId="0" fillId="6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1" fillId="8" borderId="0" xfId="0" applyFont="1" applyFill="1" applyAlignment="1">
      <alignment horizontal="left"/>
    </xf>
    <xf numFmtId="0" fontId="1" fillId="8" borderId="0" xfId="0" applyFont="1" applyFill="1"/>
    <xf numFmtId="0" fontId="0" fillId="8" borderId="0" xfId="0" applyFill="1" applyAlignment="1">
      <alignment horizontal="center"/>
    </xf>
    <xf numFmtId="164" fontId="0" fillId="8" borderId="0" xfId="0" applyNumberFormat="1" applyFill="1" applyAlignment="1">
      <alignment horizontal="center"/>
    </xf>
    <xf numFmtId="0" fontId="0" fillId="8" borderId="0" xfId="0" quotePrefix="1" applyFill="1" applyAlignment="1">
      <alignment horizontal="center"/>
    </xf>
    <xf numFmtId="0" fontId="0" fillId="8" borderId="0" xfId="0" applyFill="1"/>
    <xf numFmtId="0" fontId="1" fillId="9" borderId="0" xfId="0" applyFont="1" applyFill="1" applyAlignment="1">
      <alignment horizontal="center"/>
    </xf>
    <xf numFmtId="0" fontId="1" fillId="9" borderId="0" xfId="0" applyFont="1" applyFill="1" applyAlignment="1">
      <alignment horizontal="left"/>
    </xf>
    <xf numFmtId="0" fontId="1" fillId="9" borderId="0" xfId="0" applyFont="1" applyFill="1"/>
    <xf numFmtId="0" fontId="0" fillId="9" borderId="0" xfId="0" applyFill="1" applyAlignment="1">
      <alignment horizontal="center"/>
    </xf>
    <xf numFmtId="164" fontId="0" fillId="9" borderId="0" xfId="0" applyNumberFormat="1" applyFill="1" applyAlignment="1">
      <alignment horizontal="center"/>
    </xf>
    <xf numFmtId="0" fontId="0" fillId="9" borderId="0" xfId="0" quotePrefix="1" applyFill="1" applyAlignment="1">
      <alignment horizontal="center"/>
    </xf>
    <xf numFmtId="0" fontId="0" fillId="9" borderId="0" xfId="0" applyFill="1"/>
    <xf numFmtId="0" fontId="0" fillId="3" borderId="0" xfId="0" applyFill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left"/>
    </xf>
    <xf numFmtId="2" fontId="0" fillId="2" borderId="0" xfId="0" applyNumberFormat="1" applyFill="1" applyBorder="1" applyAlignment="1">
      <alignment horizontal="center"/>
    </xf>
    <xf numFmtId="0" fontId="0" fillId="2" borderId="0" xfId="0" applyFill="1" applyBorder="1"/>
    <xf numFmtId="0" fontId="0" fillId="5" borderId="0" xfId="0" applyFill="1" applyBorder="1" applyAlignment="1">
      <alignment horizontal="center"/>
    </xf>
    <xf numFmtId="0" fontId="0" fillId="5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198C-B20B-4511-94CE-008B011C85F7}">
  <dimension ref="A1:AS57"/>
  <sheetViews>
    <sheetView tabSelected="1" workbookViewId="0">
      <pane xSplit="3" ySplit="3" topLeftCell="D4" activePane="bottomRight" state="frozen"/>
      <selection pane="topRight" activeCell="D1" sqref="D1"/>
      <selection pane="bottomLeft" activeCell="A3" sqref="A3"/>
      <selection pane="bottomRight" activeCell="K1" sqref="K1"/>
    </sheetView>
  </sheetViews>
  <sheetFormatPr defaultRowHeight="14.5" x14ac:dyDescent="0.35"/>
  <cols>
    <col min="1" max="1" width="6.1796875" style="2" customWidth="1"/>
    <col min="2" max="2" width="11.36328125" style="3" customWidth="1"/>
    <col min="3" max="4" width="12.81640625" style="1" customWidth="1"/>
    <col min="5" max="5" width="10.81640625" style="2" customWidth="1"/>
    <col min="6" max="6" width="11.6328125" style="2" customWidth="1"/>
    <col min="7" max="7" width="9.90625" style="1" customWidth="1"/>
    <col min="8" max="11" width="8.7265625" style="1"/>
    <col min="12" max="29" width="8.7265625" style="2"/>
    <col min="30" max="30" width="8.7265625" style="1"/>
    <col min="31" max="31" width="9.90625" style="1" customWidth="1"/>
    <col min="32" max="32" width="8.7265625" style="2"/>
    <col min="33" max="34" width="9.54296875" style="2" customWidth="1"/>
    <col min="35" max="36" width="8.7265625" style="2"/>
    <col min="37" max="37" width="9.453125" style="2" customWidth="1"/>
    <col min="38" max="38" width="8.7265625" style="2"/>
    <col min="39" max="39" width="15.08984375" style="2" customWidth="1"/>
    <col min="40" max="40" width="13" style="1" customWidth="1"/>
    <col min="41" max="41" width="16.26953125" style="1" customWidth="1"/>
    <col min="42" max="42" width="13" style="2" customWidth="1"/>
    <col min="43" max="43" width="18.08984375" style="1" customWidth="1"/>
    <col min="44" max="44" width="13" style="1" customWidth="1"/>
    <col min="45" max="45" width="77.26953125" style="1" customWidth="1"/>
    <col min="46" max="16384" width="8.7265625" style="1"/>
  </cols>
  <sheetData>
    <row r="1" spans="1:45" ht="60" customHeight="1" x14ac:dyDescent="0.35">
      <c r="A1" s="4" t="s">
        <v>0</v>
      </c>
      <c r="B1" s="5" t="s">
        <v>1</v>
      </c>
      <c r="C1" s="4" t="s">
        <v>10</v>
      </c>
      <c r="D1" s="15" t="s">
        <v>186</v>
      </c>
      <c r="E1" s="16" t="s">
        <v>100</v>
      </c>
      <c r="F1" s="16" t="s">
        <v>101</v>
      </c>
      <c r="G1" s="15" t="s">
        <v>2</v>
      </c>
      <c r="H1" s="16" t="s">
        <v>33</v>
      </c>
      <c r="I1" s="6" t="s">
        <v>138</v>
      </c>
      <c r="J1" s="6" t="s">
        <v>140</v>
      </c>
      <c r="K1" s="6" t="s">
        <v>142</v>
      </c>
      <c r="L1" s="6" t="s">
        <v>141</v>
      </c>
      <c r="M1" s="6" t="s">
        <v>143</v>
      </c>
      <c r="N1" s="6" t="s">
        <v>139</v>
      </c>
      <c r="O1" s="4" t="s">
        <v>3</v>
      </c>
      <c r="P1" s="6" t="s">
        <v>170</v>
      </c>
      <c r="Q1" s="6" t="s">
        <v>169</v>
      </c>
      <c r="R1" s="6" t="s">
        <v>168</v>
      </c>
      <c r="S1" s="6" t="s">
        <v>167</v>
      </c>
      <c r="T1" s="6" t="s">
        <v>166</v>
      </c>
      <c r="U1" s="6" t="s">
        <v>165</v>
      </c>
      <c r="V1" s="6" t="s">
        <v>164</v>
      </c>
      <c r="W1" s="6" t="s">
        <v>163</v>
      </c>
      <c r="X1" s="6" t="s">
        <v>162</v>
      </c>
      <c r="Y1" s="6" t="s">
        <v>161</v>
      </c>
      <c r="Z1" s="6" t="s">
        <v>160</v>
      </c>
      <c r="AA1" s="6" t="s">
        <v>159</v>
      </c>
      <c r="AB1" s="6" t="s">
        <v>171</v>
      </c>
      <c r="AC1" s="6" t="s">
        <v>158</v>
      </c>
      <c r="AD1" s="6" t="s">
        <v>157</v>
      </c>
      <c r="AE1" s="6" t="s">
        <v>4</v>
      </c>
      <c r="AF1" s="6" t="s">
        <v>65</v>
      </c>
      <c r="AG1" s="6" t="s">
        <v>104</v>
      </c>
      <c r="AH1" s="6" t="s">
        <v>82</v>
      </c>
      <c r="AI1" s="6" t="s">
        <v>75</v>
      </c>
      <c r="AJ1" s="6" t="s">
        <v>105</v>
      </c>
      <c r="AK1" s="6" t="s">
        <v>106</v>
      </c>
      <c r="AL1" s="6" t="s">
        <v>68</v>
      </c>
      <c r="AM1" s="6" t="s">
        <v>98</v>
      </c>
      <c r="AN1" s="6" t="s">
        <v>99</v>
      </c>
      <c r="AO1" s="6" t="s">
        <v>110</v>
      </c>
      <c r="AP1" s="6" t="s">
        <v>111</v>
      </c>
      <c r="AQ1" s="6" t="s">
        <v>118</v>
      </c>
      <c r="AR1" s="6" t="s">
        <v>173</v>
      </c>
      <c r="AS1" s="6" t="s">
        <v>97</v>
      </c>
    </row>
    <row r="2" spans="1:45" s="10" customFormat="1" ht="13" customHeight="1" x14ac:dyDescent="0.25">
      <c r="A2" s="7"/>
      <c r="B2" s="8"/>
      <c r="C2" s="7"/>
      <c r="D2" s="7"/>
      <c r="E2" s="7" t="s">
        <v>92</v>
      </c>
      <c r="F2" s="7" t="s">
        <v>93</v>
      </c>
      <c r="G2" s="7" t="s">
        <v>149</v>
      </c>
      <c r="H2" s="9" t="s">
        <v>63</v>
      </c>
      <c r="I2" s="9" t="s">
        <v>71</v>
      </c>
      <c r="J2" s="9" t="s">
        <v>71</v>
      </c>
      <c r="K2" s="9" t="s">
        <v>71</v>
      </c>
      <c r="L2" s="9" t="s">
        <v>71</v>
      </c>
      <c r="M2" s="9" t="s">
        <v>71</v>
      </c>
      <c r="N2" s="9" t="s">
        <v>71</v>
      </c>
      <c r="O2" s="7" t="s">
        <v>72</v>
      </c>
      <c r="P2" s="9" t="s">
        <v>73</v>
      </c>
      <c r="Q2" s="9" t="s">
        <v>73</v>
      </c>
      <c r="R2" s="9" t="s">
        <v>73</v>
      </c>
      <c r="S2" s="9" t="s">
        <v>73</v>
      </c>
      <c r="T2" s="9" t="s">
        <v>73</v>
      </c>
      <c r="U2" s="9" t="s">
        <v>73</v>
      </c>
      <c r="V2" s="9" t="s">
        <v>73</v>
      </c>
      <c r="W2" s="9" t="s">
        <v>73</v>
      </c>
      <c r="X2" s="9" t="s">
        <v>73</v>
      </c>
      <c r="Y2" s="9" t="s">
        <v>73</v>
      </c>
      <c r="Z2" s="9" t="s">
        <v>73</v>
      </c>
      <c r="AA2" s="9" t="s">
        <v>73</v>
      </c>
      <c r="AB2" s="9"/>
      <c r="AC2" s="9" t="s">
        <v>73</v>
      </c>
      <c r="AD2" s="9" t="s">
        <v>73</v>
      </c>
      <c r="AE2" s="9" t="s">
        <v>74</v>
      </c>
      <c r="AF2" s="9" t="s">
        <v>64</v>
      </c>
      <c r="AG2" s="9" t="s">
        <v>66</v>
      </c>
      <c r="AH2" s="9" t="s">
        <v>96</v>
      </c>
      <c r="AI2" s="9" t="s">
        <v>69</v>
      </c>
      <c r="AJ2" s="9" t="s">
        <v>70</v>
      </c>
      <c r="AK2" s="9" t="s">
        <v>80</v>
      </c>
      <c r="AL2" s="9" t="s">
        <v>67</v>
      </c>
      <c r="AM2" s="9" t="s">
        <v>102</v>
      </c>
      <c r="AN2" s="9" t="s">
        <v>103</v>
      </c>
      <c r="AO2" s="9"/>
      <c r="AP2" s="9"/>
      <c r="AQ2" s="9"/>
      <c r="AR2" s="9"/>
    </row>
    <row r="3" spans="1:45" s="10" customFormat="1" ht="10.5" x14ac:dyDescent="0.25">
      <c r="A3" s="11"/>
      <c r="B3" s="12"/>
      <c r="E3" s="14" t="s">
        <v>88</v>
      </c>
      <c r="F3" s="11" t="s">
        <v>89</v>
      </c>
      <c r="G3" s="11" t="s">
        <v>62</v>
      </c>
      <c r="H3" s="11" t="s">
        <v>76</v>
      </c>
      <c r="I3" s="11" t="s">
        <v>83</v>
      </c>
      <c r="J3" s="11" t="s">
        <v>83</v>
      </c>
      <c r="K3" s="11" t="s">
        <v>83</v>
      </c>
      <c r="L3" s="13" t="s">
        <v>84</v>
      </c>
      <c r="M3" s="13" t="s">
        <v>84</v>
      </c>
      <c r="N3" s="13" t="s">
        <v>84</v>
      </c>
      <c r="O3" s="11" t="s">
        <v>90</v>
      </c>
      <c r="P3" s="11" t="s">
        <v>76</v>
      </c>
      <c r="Q3" s="11" t="s">
        <v>76</v>
      </c>
      <c r="R3" s="11" t="s">
        <v>76</v>
      </c>
      <c r="S3" s="11" t="s">
        <v>76</v>
      </c>
      <c r="T3" s="11" t="s">
        <v>76</v>
      </c>
      <c r="U3" s="11" t="s">
        <v>76</v>
      </c>
      <c r="V3" s="11" t="s">
        <v>76</v>
      </c>
      <c r="W3" s="11" t="s">
        <v>76</v>
      </c>
      <c r="X3" s="11" t="s">
        <v>76</v>
      </c>
      <c r="Y3" s="11" t="s">
        <v>76</v>
      </c>
      <c r="Z3" s="11" t="s">
        <v>76</v>
      </c>
      <c r="AA3" s="11" t="s">
        <v>76</v>
      </c>
      <c r="AB3" s="11"/>
      <c r="AC3" s="11" t="s">
        <v>76</v>
      </c>
      <c r="AD3" s="11" t="s">
        <v>148</v>
      </c>
      <c r="AE3" s="11" t="s">
        <v>91</v>
      </c>
      <c r="AF3" s="11" t="s">
        <v>77</v>
      </c>
      <c r="AG3" s="11" t="s">
        <v>95</v>
      </c>
      <c r="AH3" s="11" t="s">
        <v>77</v>
      </c>
      <c r="AI3" s="14" t="s">
        <v>94</v>
      </c>
      <c r="AJ3" s="11" t="s">
        <v>81</v>
      </c>
      <c r="AK3" s="11" t="s">
        <v>79</v>
      </c>
      <c r="AL3" s="11" t="s">
        <v>78</v>
      </c>
      <c r="AM3" s="11" t="s">
        <v>156</v>
      </c>
      <c r="AN3" s="11" t="s">
        <v>156</v>
      </c>
      <c r="AO3" s="11"/>
      <c r="AP3" s="11"/>
      <c r="AQ3" s="11"/>
      <c r="AR3" s="11"/>
    </row>
    <row r="4" spans="1:45" x14ac:dyDescent="0.35">
      <c r="A4" s="32">
        <v>1</v>
      </c>
      <c r="B4" s="33" t="s">
        <v>182</v>
      </c>
      <c r="C4" s="33" t="s">
        <v>5</v>
      </c>
      <c r="D4" s="33" t="s">
        <v>187</v>
      </c>
      <c r="E4" s="34">
        <v>857.7</v>
      </c>
      <c r="F4" s="35">
        <v>3.6724999999999999</v>
      </c>
      <c r="G4" s="32">
        <v>0.19</v>
      </c>
      <c r="H4" s="32">
        <v>290</v>
      </c>
      <c r="I4" s="32">
        <v>12231</v>
      </c>
      <c r="J4" s="32">
        <v>1494</v>
      </c>
      <c r="K4" s="32">
        <v>27</v>
      </c>
      <c r="L4" s="32">
        <v>21</v>
      </c>
      <c r="M4" s="32">
        <v>18</v>
      </c>
      <c r="N4" s="32">
        <v>12</v>
      </c>
      <c r="O4" s="32">
        <v>35.42</v>
      </c>
      <c r="P4" s="35">
        <v>0.3</v>
      </c>
      <c r="Q4" s="32">
        <v>0.03</v>
      </c>
      <c r="R4" s="32">
        <v>0.28999999999999998</v>
      </c>
      <c r="S4" s="32">
        <v>0.05</v>
      </c>
      <c r="T4" s="32" t="s">
        <v>172</v>
      </c>
      <c r="U4" s="32">
        <v>0.25</v>
      </c>
      <c r="V4" s="32" t="s">
        <v>144</v>
      </c>
      <c r="W4" s="32">
        <v>0.03</v>
      </c>
      <c r="X4" s="32">
        <v>0.42</v>
      </c>
      <c r="Y4" s="36">
        <v>1</v>
      </c>
      <c r="Z4" s="36" t="s">
        <v>172</v>
      </c>
      <c r="AA4" s="32">
        <v>0.45</v>
      </c>
      <c r="AB4" s="32"/>
      <c r="AC4" s="32" t="s">
        <v>172</v>
      </c>
      <c r="AD4" s="32">
        <v>0.16</v>
      </c>
      <c r="AE4" s="37"/>
      <c r="AF4" s="32"/>
      <c r="AG4" s="32"/>
      <c r="AH4" s="32"/>
      <c r="AI4" s="32"/>
      <c r="AJ4" s="32"/>
      <c r="AK4" s="32"/>
      <c r="AL4" s="32"/>
      <c r="AM4" s="32" t="s">
        <v>155</v>
      </c>
      <c r="AN4" s="32" t="s">
        <v>155</v>
      </c>
      <c r="AO4" s="37" t="s">
        <v>132</v>
      </c>
      <c r="AP4" s="32" t="s">
        <v>134</v>
      </c>
      <c r="AQ4" s="37" t="s">
        <v>135</v>
      </c>
      <c r="AR4" s="37"/>
      <c r="AS4" s="37"/>
    </row>
    <row r="5" spans="1:45" x14ac:dyDescent="0.35">
      <c r="A5" s="32">
        <v>2</v>
      </c>
      <c r="B5" s="33" t="s">
        <v>183</v>
      </c>
      <c r="C5" s="33" t="s">
        <v>6</v>
      </c>
      <c r="D5" s="33" t="s">
        <v>18</v>
      </c>
      <c r="E5" s="34">
        <v>857.5</v>
      </c>
      <c r="F5" s="35">
        <v>3.6680000000000001</v>
      </c>
      <c r="G5" s="32">
        <v>0.14000000000000001</v>
      </c>
      <c r="H5" s="32">
        <v>302</v>
      </c>
      <c r="I5" s="32">
        <v>11309</v>
      </c>
      <c r="J5" s="32">
        <v>1475</v>
      </c>
      <c r="K5" s="32">
        <v>23</v>
      </c>
      <c r="L5" s="32">
        <v>21</v>
      </c>
      <c r="M5" s="32">
        <v>18</v>
      </c>
      <c r="N5" s="32">
        <v>12</v>
      </c>
      <c r="O5" s="32">
        <v>35.44</v>
      </c>
      <c r="P5" s="32">
        <v>0.23</v>
      </c>
      <c r="Q5" s="32">
        <v>0.16</v>
      </c>
      <c r="R5" s="32">
        <v>0.36</v>
      </c>
      <c r="S5" s="32">
        <v>0.04</v>
      </c>
      <c r="T5" s="32" t="s">
        <v>172</v>
      </c>
      <c r="U5" s="32">
        <v>0.95</v>
      </c>
      <c r="V5" s="32" t="s">
        <v>144</v>
      </c>
      <c r="W5" s="32">
        <v>0.01</v>
      </c>
      <c r="X5" s="32">
        <v>0.23</v>
      </c>
      <c r="Y5" s="32" t="s">
        <v>145</v>
      </c>
      <c r="Z5" s="32" t="s">
        <v>172</v>
      </c>
      <c r="AA5" s="32">
        <v>0.23</v>
      </c>
      <c r="AB5" s="32"/>
      <c r="AC5" s="32" t="s">
        <v>172</v>
      </c>
      <c r="AD5" s="32">
        <v>0.17</v>
      </c>
      <c r="AE5" s="37"/>
      <c r="AF5" s="32"/>
      <c r="AG5" s="32"/>
      <c r="AH5" s="32"/>
      <c r="AI5" s="32"/>
      <c r="AJ5" s="32"/>
      <c r="AK5" s="32"/>
      <c r="AL5" s="32"/>
      <c r="AM5" s="32" t="s">
        <v>155</v>
      </c>
      <c r="AN5" s="32"/>
      <c r="AO5" s="37" t="s">
        <v>132</v>
      </c>
      <c r="AP5" s="32" t="s">
        <v>134</v>
      </c>
      <c r="AQ5" s="37" t="s">
        <v>136</v>
      </c>
      <c r="AR5" s="37"/>
      <c r="AS5" s="37"/>
    </row>
    <row r="6" spans="1:45" x14ac:dyDescent="0.35">
      <c r="A6" s="32">
        <v>3</v>
      </c>
      <c r="B6" s="33" t="s">
        <v>180</v>
      </c>
      <c r="C6" s="33" t="s">
        <v>7</v>
      </c>
      <c r="D6" s="33" t="s">
        <v>187</v>
      </c>
      <c r="E6" s="38">
        <v>861</v>
      </c>
      <c r="F6" s="35">
        <v>3.7113999999999998</v>
      </c>
      <c r="G6" s="32">
        <v>0.2</v>
      </c>
      <c r="H6" s="32">
        <v>373</v>
      </c>
      <c r="I6" s="32">
        <v>27938</v>
      </c>
      <c r="J6" s="32">
        <v>7676</v>
      </c>
      <c r="K6" s="32">
        <v>607</v>
      </c>
      <c r="L6" s="32">
        <v>22</v>
      </c>
      <c r="M6" s="32">
        <v>20</v>
      </c>
      <c r="N6" s="32">
        <v>16</v>
      </c>
      <c r="O6" s="32">
        <v>35.42</v>
      </c>
      <c r="P6" s="32">
        <v>0.27</v>
      </c>
      <c r="Q6" s="32" t="s">
        <v>172</v>
      </c>
      <c r="R6" s="32">
        <v>0.22</v>
      </c>
      <c r="S6" s="32">
        <v>0.01</v>
      </c>
      <c r="T6" s="32" t="s">
        <v>172</v>
      </c>
      <c r="U6" s="32" t="s">
        <v>144</v>
      </c>
      <c r="V6" s="39" t="s">
        <v>146</v>
      </c>
      <c r="W6" s="32">
        <v>0.02</v>
      </c>
      <c r="X6" s="32" t="s">
        <v>172</v>
      </c>
      <c r="Y6" s="32" t="s">
        <v>172</v>
      </c>
      <c r="Z6" s="32" t="s">
        <v>172</v>
      </c>
      <c r="AA6" s="32" t="s">
        <v>172</v>
      </c>
      <c r="AB6" s="32"/>
      <c r="AC6" s="32" t="s">
        <v>172</v>
      </c>
      <c r="AD6" s="32">
        <v>0.15</v>
      </c>
      <c r="AE6" s="37"/>
      <c r="AF6" s="32"/>
      <c r="AG6" s="32"/>
      <c r="AH6" s="32"/>
      <c r="AI6" s="32"/>
      <c r="AJ6" s="32"/>
      <c r="AK6" s="32"/>
      <c r="AL6" s="32"/>
      <c r="AM6" s="32" t="s">
        <v>155</v>
      </c>
      <c r="AN6" s="32" t="s">
        <v>155</v>
      </c>
      <c r="AO6" s="37" t="s">
        <v>133</v>
      </c>
      <c r="AP6" s="32" t="s">
        <v>134</v>
      </c>
      <c r="AQ6" s="37" t="s">
        <v>135</v>
      </c>
      <c r="AR6" s="37"/>
      <c r="AS6" s="37"/>
    </row>
    <row r="7" spans="1:45" x14ac:dyDescent="0.35">
      <c r="A7" s="32">
        <v>4</v>
      </c>
      <c r="B7" s="33" t="s">
        <v>181</v>
      </c>
      <c r="C7" s="33" t="s">
        <v>8</v>
      </c>
      <c r="D7" s="33" t="s">
        <v>18</v>
      </c>
      <c r="E7" s="34">
        <v>860.3</v>
      </c>
      <c r="F7" s="35">
        <v>3.6789999999999998</v>
      </c>
      <c r="G7" s="32">
        <v>0.1</v>
      </c>
      <c r="H7" s="32">
        <v>398</v>
      </c>
      <c r="I7" s="32">
        <v>25936</v>
      </c>
      <c r="J7" s="32">
        <v>3665</v>
      </c>
      <c r="K7" s="32">
        <v>39</v>
      </c>
      <c r="L7" s="32">
        <v>22</v>
      </c>
      <c r="M7" s="32">
        <v>19</v>
      </c>
      <c r="N7" s="32">
        <v>12</v>
      </c>
      <c r="O7" s="32">
        <v>35.340000000000003</v>
      </c>
      <c r="P7" s="32">
        <v>0.5</v>
      </c>
      <c r="Q7" s="32">
        <v>0.1</v>
      </c>
      <c r="R7" s="32">
        <v>0.55000000000000004</v>
      </c>
      <c r="S7" s="32" t="s">
        <v>144</v>
      </c>
      <c r="T7" s="32" t="s">
        <v>172</v>
      </c>
      <c r="U7" s="32">
        <v>0.75</v>
      </c>
      <c r="V7" s="39" t="s">
        <v>147</v>
      </c>
      <c r="W7" s="32">
        <v>0.02</v>
      </c>
      <c r="X7" s="32">
        <v>0.08</v>
      </c>
      <c r="Y7" s="32">
        <v>2.57</v>
      </c>
      <c r="Z7" s="32">
        <v>0.01</v>
      </c>
      <c r="AA7" s="32" t="s">
        <v>172</v>
      </c>
      <c r="AB7" s="32"/>
      <c r="AC7" s="32" t="s">
        <v>172</v>
      </c>
      <c r="AD7" s="32">
        <v>0.17</v>
      </c>
      <c r="AE7" s="37"/>
      <c r="AF7" s="32"/>
      <c r="AG7" s="32"/>
      <c r="AH7" s="32"/>
      <c r="AI7" s="32"/>
      <c r="AJ7" s="32"/>
      <c r="AK7" s="32"/>
      <c r="AL7" s="32"/>
      <c r="AM7" s="32" t="s">
        <v>155</v>
      </c>
      <c r="AN7" s="32"/>
      <c r="AO7" s="37" t="s">
        <v>133</v>
      </c>
      <c r="AP7" s="32" t="s">
        <v>134</v>
      </c>
      <c r="AQ7" s="37" t="s">
        <v>136</v>
      </c>
      <c r="AR7" s="37"/>
      <c r="AS7" s="37"/>
    </row>
    <row r="8" spans="1:45" x14ac:dyDescent="0.35">
      <c r="A8" s="32">
        <v>5</v>
      </c>
      <c r="B8" s="33" t="s">
        <v>184</v>
      </c>
      <c r="C8" s="33" t="s">
        <v>185</v>
      </c>
      <c r="D8" s="33" t="s">
        <v>188</v>
      </c>
      <c r="E8" s="32">
        <v>855.7</v>
      </c>
      <c r="F8" s="35">
        <v>3.3807</v>
      </c>
      <c r="G8" s="32">
        <v>0.15</v>
      </c>
      <c r="H8" s="32">
        <v>236</v>
      </c>
      <c r="I8" s="32">
        <v>37832</v>
      </c>
      <c r="J8" s="32">
        <v>13385</v>
      </c>
      <c r="K8" s="32">
        <v>169</v>
      </c>
      <c r="L8" s="32">
        <v>22</v>
      </c>
      <c r="M8" s="32">
        <v>21</v>
      </c>
      <c r="N8" s="32">
        <v>15</v>
      </c>
      <c r="O8" s="32">
        <v>35.5</v>
      </c>
      <c r="P8" s="32">
        <v>0.05</v>
      </c>
      <c r="Q8" s="32">
        <v>0.04</v>
      </c>
      <c r="R8" s="32">
        <v>0.16</v>
      </c>
      <c r="S8" s="32" t="s">
        <v>144</v>
      </c>
      <c r="T8" s="32" t="s">
        <v>172</v>
      </c>
      <c r="U8" s="32">
        <v>0.88</v>
      </c>
      <c r="V8" s="32" t="s">
        <v>144</v>
      </c>
      <c r="W8" s="32">
        <v>0.02</v>
      </c>
      <c r="X8" s="32">
        <v>0.24</v>
      </c>
      <c r="Y8" s="32">
        <v>2.76</v>
      </c>
      <c r="Z8" s="32">
        <v>0.03</v>
      </c>
      <c r="AA8" s="32" t="s">
        <v>172</v>
      </c>
      <c r="AB8" s="32"/>
      <c r="AC8" s="32" t="s">
        <v>172</v>
      </c>
      <c r="AD8" s="32">
        <v>0.15</v>
      </c>
      <c r="AE8" s="40">
        <v>0.1177</v>
      </c>
      <c r="AF8" s="32">
        <v>8.5999999999999993E-2</v>
      </c>
      <c r="AG8" s="32" t="s">
        <v>107</v>
      </c>
      <c r="AH8" s="32">
        <v>0</v>
      </c>
      <c r="AI8" s="32">
        <v>12.6</v>
      </c>
      <c r="AJ8" s="32">
        <v>2.2999999999999998</v>
      </c>
      <c r="AK8" s="32" t="s">
        <v>108</v>
      </c>
      <c r="AL8" s="32">
        <v>63</v>
      </c>
      <c r="AM8" s="32" t="s">
        <v>155</v>
      </c>
      <c r="AN8" s="32" t="s">
        <v>155</v>
      </c>
      <c r="AO8" s="37" t="s">
        <v>9</v>
      </c>
      <c r="AP8" s="32" t="s">
        <v>134</v>
      </c>
      <c r="AQ8" s="37" t="s">
        <v>137</v>
      </c>
      <c r="AR8" s="37"/>
      <c r="AS8" s="37"/>
    </row>
    <row r="9" spans="1:45" x14ac:dyDescent="0.35">
      <c r="A9" s="32">
        <v>6</v>
      </c>
      <c r="B9" s="33" t="s">
        <v>11</v>
      </c>
      <c r="C9" s="33" t="s">
        <v>12</v>
      </c>
      <c r="D9" s="33" t="s">
        <v>187</v>
      </c>
      <c r="E9" s="41">
        <v>849</v>
      </c>
      <c r="F9" s="35">
        <v>3.3672</v>
      </c>
      <c r="G9" s="32">
        <v>0.19</v>
      </c>
      <c r="H9" s="32">
        <v>383</v>
      </c>
      <c r="I9" s="32">
        <v>11810</v>
      </c>
      <c r="J9" s="32">
        <v>1350</v>
      </c>
      <c r="K9" s="32">
        <v>91</v>
      </c>
      <c r="L9" s="32">
        <v>21</v>
      </c>
      <c r="M9" s="32">
        <v>18</v>
      </c>
      <c r="N9" s="32">
        <v>14</v>
      </c>
      <c r="O9" s="32">
        <v>35.82</v>
      </c>
      <c r="P9" s="32">
        <v>0.34</v>
      </c>
      <c r="Q9" s="32" t="s">
        <v>172</v>
      </c>
      <c r="R9" s="32">
        <v>0.08</v>
      </c>
      <c r="S9" s="32" t="s">
        <v>172</v>
      </c>
      <c r="T9" s="32" t="s">
        <v>172</v>
      </c>
      <c r="U9" s="32">
        <v>0.49</v>
      </c>
      <c r="V9" s="32" t="s">
        <v>172</v>
      </c>
      <c r="W9" s="32">
        <v>0.01</v>
      </c>
      <c r="X9" s="32" t="s">
        <v>172</v>
      </c>
      <c r="Y9" s="32" t="s">
        <v>172</v>
      </c>
      <c r="Z9" s="32" t="s">
        <v>172</v>
      </c>
      <c r="AA9" s="32" t="s">
        <v>172</v>
      </c>
      <c r="AB9" s="32">
        <v>0.03</v>
      </c>
      <c r="AC9" s="32" t="s">
        <v>172</v>
      </c>
      <c r="AD9" s="37"/>
      <c r="AE9" s="32"/>
      <c r="AF9" s="32"/>
      <c r="AG9" s="32"/>
      <c r="AH9" s="32"/>
      <c r="AI9" s="32"/>
      <c r="AJ9" s="32"/>
      <c r="AK9" s="32"/>
      <c r="AL9" s="32"/>
      <c r="AM9" s="32"/>
      <c r="AN9" s="37"/>
      <c r="AO9" s="37" t="s">
        <v>131</v>
      </c>
      <c r="AP9" s="32"/>
      <c r="AQ9" s="37"/>
      <c r="AR9" s="37" t="s">
        <v>174</v>
      </c>
      <c r="AS9" s="37"/>
    </row>
    <row r="10" spans="1:45" s="2" customFormat="1" x14ac:dyDescent="0.35">
      <c r="A10" s="32">
        <v>7</v>
      </c>
      <c r="B10" s="33" t="s">
        <v>13</v>
      </c>
      <c r="C10" s="33" t="s">
        <v>14</v>
      </c>
      <c r="D10" s="33" t="s">
        <v>187</v>
      </c>
      <c r="E10" s="32"/>
      <c r="F10" s="35">
        <v>3.379</v>
      </c>
      <c r="G10" s="2">
        <v>0.42</v>
      </c>
      <c r="H10" s="46">
        <v>459</v>
      </c>
      <c r="I10" s="2">
        <v>12883</v>
      </c>
      <c r="J10" s="2">
        <v>2539</v>
      </c>
      <c r="K10" s="2">
        <v>68</v>
      </c>
      <c r="L10" s="2">
        <v>21</v>
      </c>
      <c r="M10" s="2">
        <v>19</v>
      </c>
      <c r="N10" s="2">
        <v>13</v>
      </c>
      <c r="O10" s="2">
        <v>35.82</v>
      </c>
      <c r="P10" s="2">
        <v>0.7</v>
      </c>
      <c r="Q10" s="2">
        <v>0.16</v>
      </c>
      <c r="R10" s="2" t="s">
        <v>172</v>
      </c>
      <c r="S10" s="2">
        <v>0.03</v>
      </c>
      <c r="T10" s="2" t="s">
        <v>172</v>
      </c>
      <c r="U10" s="2">
        <v>1.1599999999999999</v>
      </c>
      <c r="V10" s="2" t="s">
        <v>172</v>
      </c>
      <c r="W10" s="2" t="s">
        <v>172</v>
      </c>
      <c r="X10" s="2" t="s">
        <v>172</v>
      </c>
      <c r="Y10" s="2">
        <v>1.25</v>
      </c>
      <c r="Z10" s="2">
        <v>0.06</v>
      </c>
      <c r="AA10" s="2" t="s">
        <v>172</v>
      </c>
      <c r="AB10" s="2">
        <v>0.02</v>
      </c>
      <c r="AC10" s="2">
        <v>0.01</v>
      </c>
      <c r="AD10" s="32"/>
      <c r="AE10" s="32">
        <v>4.9000000000000002E-2</v>
      </c>
      <c r="AF10" s="32">
        <v>0.13</v>
      </c>
      <c r="AG10" s="32" t="s">
        <v>107</v>
      </c>
      <c r="AH10" s="32">
        <v>7.0000000000000001E-3</v>
      </c>
      <c r="AI10" s="32">
        <v>24</v>
      </c>
      <c r="AJ10" s="32">
        <v>2.5</v>
      </c>
      <c r="AK10" s="32" t="s">
        <v>154</v>
      </c>
      <c r="AL10" s="32">
        <v>24</v>
      </c>
      <c r="AM10" s="42"/>
      <c r="AN10" s="42"/>
      <c r="AO10" s="33" t="s">
        <v>131</v>
      </c>
      <c r="AP10" s="32"/>
      <c r="AQ10" s="32"/>
      <c r="AR10" s="37" t="s">
        <v>175</v>
      </c>
      <c r="AS10" s="32"/>
    </row>
    <row r="11" spans="1:45" x14ac:dyDescent="0.35">
      <c r="A11" s="32">
        <v>8</v>
      </c>
      <c r="B11" s="33" t="s">
        <v>15</v>
      </c>
      <c r="C11" s="33" t="s">
        <v>16</v>
      </c>
      <c r="D11" s="33" t="s">
        <v>187</v>
      </c>
      <c r="E11" s="32"/>
      <c r="F11" s="35">
        <v>3.6972999999999998</v>
      </c>
      <c r="G11" s="32">
        <v>0.21</v>
      </c>
      <c r="H11" s="32">
        <v>370</v>
      </c>
      <c r="I11" s="32">
        <v>9536</v>
      </c>
      <c r="J11" s="32">
        <v>547</v>
      </c>
      <c r="K11" s="32">
        <v>30</v>
      </c>
      <c r="L11" s="32">
        <v>20</v>
      </c>
      <c r="M11" s="32">
        <v>16</v>
      </c>
      <c r="N11" s="32">
        <v>12</v>
      </c>
      <c r="O11" s="32">
        <v>35.15</v>
      </c>
      <c r="P11" s="32">
        <v>0.23</v>
      </c>
      <c r="Q11" s="32">
        <v>0.02</v>
      </c>
      <c r="R11" s="32" t="s">
        <v>172</v>
      </c>
      <c r="S11" s="32" t="s">
        <v>172</v>
      </c>
      <c r="T11" s="32" t="s">
        <v>172</v>
      </c>
      <c r="U11" s="32">
        <v>0.01</v>
      </c>
      <c r="V11" s="32" t="s">
        <v>172</v>
      </c>
      <c r="W11" s="32">
        <v>0.02</v>
      </c>
      <c r="X11" s="32" t="s">
        <v>172</v>
      </c>
      <c r="Y11" s="32" t="s">
        <v>172</v>
      </c>
      <c r="Z11" s="32" t="s">
        <v>172</v>
      </c>
      <c r="AA11" s="32" t="s">
        <v>172</v>
      </c>
      <c r="AB11" s="32">
        <v>0.04</v>
      </c>
      <c r="AC11" s="32">
        <v>0.01</v>
      </c>
      <c r="AD11" s="37"/>
      <c r="AE11" s="32"/>
      <c r="AF11" s="32"/>
      <c r="AG11" s="32"/>
      <c r="AH11" s="32"/>
      <c r="AI11" s="32"/>
      <c r="AJ11" s="32"/>
      <c r="AK11" s="32"/>
      <c r="AL11" s="32"/>
      <c r="AM11" s="32"/>
      <c r="AN11" s="37"/>
      <c r="AO11" s="33" t="s">
        <v>131</v>
      </c>
      <c r="AP11" s="32"/>
      <c r="AQ11" s="37"/>
      <c r="AR11" s="37" t="s">
        <v>174</v>
      </c>
      <c r="AS11" s="37"/>
    </row>
    <row r="12" spans="1:45" x14ac:dyDescent="0.35">
      <c r="A12" s="32">
        <v>9</v>
      </c>
      <c r="B12" s="33" t="s">
        <v>17</v>
      </c>
      <c r="C12" s="33" t="s">
        <v>18</v>
      </c>
      <c r="D12" s="33" t="s">
        <v>18</v>
      </c>
      <c r="E12" s="32"/>
      <c r="F12" s="35">
        <v>3.7435</v>
      </c>
      <c r="G12" s="32">
        <v>0.2</v>
      </c>
      <c r="H12" s="32">
        <v>349</v>
      </c>
      <c r="I12" s="32">
        <v>16428</v>
      </c>
      <c r="J12" s="32">
        <v>3149</v>
      </c>
      <c r="K12" s="32">
        <v>79</v>
      </c>
      <c r="L12" s="32">
        <v>21</v>
      </c>
      <c r="M12" s="32">
        <v>19</v>
      </c>
      <c r="N12" s="32">
        <v>13</v>
      </c>
      <c r="O12" s="32">
        <v>35.36</v>
      </c>
      <c r="P12" s="32">
        <v>0.23</v>
      </c>
      <c r="Q12" s="32" t="s">
        <v>172</v>
      </c>
      <c r="R12" s="32" t="s">
        <v>172</v>
      </c>
      <c r="S12" s="32" t="s">
        <v>172</v>
      </c>
      <c r="T12" s="32" t="s">
        <v>172</v>
      </c>
      <c r="U12" s="32">
        <v>0.52</v>
      </c>
      <c r="V12" s="32" t="s">
        <v>172</v>
      </c>
      <c r="W12" s="32">
        <v>0.01</v>
      </c>
      <c r="X12" s="32" t="s">
        <v>172</v>
      </c>
      <c r="Y12" s="32" t="s">
        <v>172</v>
      </c>
      <c r="Z12" s="32" t="s">
        <v>172</v>
      </c>
      <c r="AA12" s="32" t="s">
        <v>172</v>
      </c>
      <c r="AB12" s="32">
        <v>0.06</v>
      </c>
      <c r="AC12" s="32" t="s">
        <v>172</v>
      </c>
      <c r="AD12" s="37"/>
      <c r="AE12" s="32"/>
      <c r="AF12" s="32"/>
      <c r="AG12" s="32"/>
      <c r="AH12" s="32"/>
      <c r="AI12" s="32"/>
      <c r="AJ12" s="32"/>
      <c r="AK12" s="32"/>
      <c r="AL12" s="32"/>
      <c r="AM12" s="32"/>
      <c r="AN12" s="37"/>
      <c r="AO12" s="33" t="s">
        <v>131</v>
      </c>
      <c r="AP12" s="32"/>
      <c r="AQ12" s="37"/>
      <c r="AR12" s="37"/>
      <c r="AS12" s="37"/>
    </row>
    <row r="13" spans="1:45" s="2" customFormat="1" x14ac:dyDescent="0.35">
      <c r="A13" s="32">
        <v>10</v>
      </c>
      <c r="B13" s="33" t="s">
        <v>19</v>
      </c>
      <c r="C13" s="33" t="s">
        <v>20</v>
      </c>
      <c r="D13" s="33" t="s">
        <v>187</v>
      </c>
      <c r="E13" s="32"/>
      <c r="F13" s="35">
        <v>3.8386999999999998</v>
      </c>
      <c r="G13" s="32">
        <v>0.22</v>
      </c>
      <c r="H13" s="45">
        <v>448</v>
      </c>
      <c r="I13" s="32">
        <v>21617</v>
      </c>
      <c r="J13" s="32">
        <v>3136</v>
      </c>
      <c r="K13" s="32">
        <v>94</v>
      </c>
      <c r="L13" s="32">
        <v>22</v>
      </c>
      <c r="M13" s="32">
        <v>19</v>
      </c>
      <c r="N13" s="32">
        <v>14</v>
      </c>
      <c r="O13" s="32">
        <v>34.909999999999997</v>
      </c>
      <c r="P13" s="32">
        <v>3.99</v>
      </c>
      <c r="Q13" s="32">
        <v>0.13</v>
      </c>
      <c r="R13" s="32">
        <v>0.04</v>
      </c>
      <c r="S13" s="32" t="s">
        <v>172</v>
      </c>
      <c r="T13" s="32" t="s">
        <v>172</v>
      </c>
      <c r="U13" s="32">
        <v>0.64</v>
      </c>
      <c r="V13" s="32" t="s">
        <v>172</v>
      </c>
      <c r="W13" s="32">
        <v>0.02</v>
      </c>
      <c r="X13" s="32" t="s">
        <v>172</v>
      </c>
      <c r="Y13" s="32" t="s">
        <v>172</v>
      </c>
      <c r="Z13" s="32" t="s">
        <v>172</v>
      </c>
      <c r="AA13" s="32" t="s">
        <v>172</v>
      </c>
      <c r="AB13" s="32">
        <v>0.09</v>
      </c>
      <c r="AC13" s="32">
        <v>0.04</v>
      </c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3" t="s">
        <v>130</v>
      </c>
      <c r="AP13" s="32"/>
      <c r="AQ13" s="32"/>
      <c r="AR13" s="33" t="s">
        <v>175</v>
      </c>
      <c r="AS13" s="32"/>
    </row>
    <row r="14" spans="1:45" x14ac:dyDescent="0.35">
      <c r="A14" s="32">
        <v>11</v>
      </c>
      <c r="B14" s="33" t="s">
        <v>21</v>
      </c>
      <c r="C14" s="33" t="s">
        <v>22</v>
      </c>
      <c r="D14" s="33" t="s">
        <v>187</v>
      </c>
      <c r="E14" s="32"/>
      <c r="F14" s="35">
        <v>3.8567999999999998</v>
      </c>
      <c r="G14" s="32">
        <v>0.3</v>
      </c>
      <c r="H14" s="32">
        <v>359</v>
      </c>
      <c r="I14" s="32">
        <v>14806</v>
      </c>
      <c r="J14" s="32">
        <v>1212</v>
      </c>
      <c r="K14" s="32">
        <v>27</v>
      </c>
      <c r="L14" s="32">
        <v>21</v>
      </c>
      <c r="M14" s="32">
        <v>17</v>
      </c>
      <c r="N14" s="32">
        <v>12</v>
      </c>
      <c r="O14" s="32">
        <v>34.770000000000003</v>
      </c>
      <c r="P14" s="32">
        <v>2.58</v>
      </c>
      <c r="Q14" s="32">
        <v>0.01</v>
      </c>
      <c r="R14" s="32" t="s">
        <v>172</v>
      </c>
      <c r="S14" s="32">
        <v>0.05</v>
      </c>
      <c r="T14" s="32" t="s">
        <v>172</v>
      </c>
      <c r="U14" s="32">
        <v>1.29</v>
      </c>
      <c r="V14" s="32" t="s">
        <v>172</v>
      </c>
      <c r="W14" s="32">
        <v>0.03</v>
      </c>
      <c r="X14" s="32" t="s">
        <v>172</v>
      </c>
      <c r="Y14" s="32">
        <v>1.02</v>
      </c>
      <c r="Z14" s="32" t="s">
        <v>172</v>
      </c>
      <c r="AA14" s="32" t="s">
        <v>172</v>
      </c>
      <c r="AB14" s="32">
        <v>0.01</v>
      </c>
      <c r="AC14" s="32">
        <v>0.03</v>
      </c>
      <c r="AD14" s="37"/>
      <c r="AE14" s="32">
        <v>8.3000000000000004E-2</v>
      </c>
      <c r="AF14" s="32">
        <v>0.1</v>
      </c>
      <c r="AG14" s="32" t="s">
        <v>107</v>
      </c>
      <c r="AH14" s="32">
        <v>8.9999999999999993E-3</v>
      </c>
      <c r="AI14" s="32">
        <v>32</v>
      </c>
      <c r="AJ14" s="32">
        <v>3</v>
      </c>
      <c r="AK14" s="32" t="s">
        <v>154</v>
      </c>
      <c r="AL14" s="32">
        <v>8</v>
      </c>
      <c r="AM14" s="42"/>
      <c r="AN14" s="43"/>
      <c r="AO14" s="37" t="s">
        <v>130</v>
      </c>
      <c r="AP14" s="32"/>
      <c r="AQ14" s="37"/>
      <c r="AR14" s="37"/>
      <c r="AS14" s="37"/>
    </row>
    <row r="15" spans="1:45" x14ac:dyDescent="0.35">
      <c r="A15" s="32">
        <v>12</v>
      </c>
      <c r="B15" s="33" t="s">
        <v>23</v>
      </c>
      <c r="C15" s="33" t="s">
        <v>24</v>
      </c>
      <c r="D15" s="33" t="s">
        <v>187</v>
      </c>
      <c r="E15" s="32"/>
      <c r="F15" s="35">
        <v>3.6987999999999999</v>
      </c>
      <c r="G15" s="37"/>
      <c r="H15" s="37"/>
      <c r="I15" s="37"/>
      <c r="J15" s="37"/>
      <c r="K15" s="37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7"/>
      <c r="AE15" s="37"/>
      <c r="AF15" s="32"/>
      <c r="AG15" s="32"/>
      <c r="AH15" s="32"/>
      <c r="AI15" s="32"/>
      <c r="AJ15" s="32"/>
      <c r="AK15" s="32"/>
      <c r="AL15" s="32"/>
      <c r="AM15" s="32"/>
      <c r="AN15" s="37"/>
      <c r="AO15" s="37" t="s">
        <v>130</v>
      </c>
      <c r="AP15" s="32"/>
      <c r="AQ15" s="37"/>
      <c r="AR15" s="37"/>
      <c r="AS15" s="37"/>
    </row>
    <row r="16" spans="1:45" x14ac:dyDescent="0.35">
      <c r="A16" s="32">
        <v>13</v>
      </c>
      <c r="B16" s="33" t="s">
        <v>25</v>
      </c>
      <c r="C16" s="33" t="s">
        <v>26</v>
      </c>
      <c r="D16" s="33" t="s">
        <v>187</v>
      </c>
      <c r="E16" s="32">
        <v>858.4</v>
      </c>
      <c r="F16" s="35">
        <v>3.6732</v>
      </c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7"/>
      <c r="AE16" s="37"/>
      <c r="AF16" s="32"/>
      <c r="AG16" s="32"/>
      <c r="AH16" s="32"/>
      <c r="AI16" s="32"/>
      <c r="AJ16" s="32"/>
      <c r="AK16" s="32"/>
      <c r="AL16" s="32"/>
      <c r="AM16" s="32"/>
      <c r="AN16" s="37"/>
      <c r="AO16" s="37" t="s">
        <v>130</v>
      </c>
      <c r="AP16" s="32"/>
      <c r="AQ16" s="37"/>
      <c r="AR16" s="37"/>
      <c r="AS16" s="37"/>
    </row>
    <row r="17" spans="1:45" x14ac:dyDescent="0.35">
      <c r="A17" s="32">
        <v>14</v>
      </c>
      <c r="B17" s="33" t="s">
        <v>27</v>
      </c>
      <c r="C17" s="33" t="s">
        <v>16</v>
      </c>
      <c r="D17" s="33" t="s">
        <v>187</v>
      </c>
      <c r="E17" s="32"/>
      <c r="F17" s="35">
        <v>3.5872999999999999</v>
      </c>
      <c r="G17" s="32">
        <v>0.16</v>
      </c>
      <c r="H17" s="32">
        <v>357</v>
      </c>
      <c r="I17" s="32">
        <v>11289</v>
      </c>
      <c r="J17" s="32">
        <v>1333</v>
      </c>
      <c r="K17" s="32">
        <v>92</v>
      </c>
      <c r="L17" s="32">
        <v>21</v>
      </c>
      <c r="M17" s="32">
        <v>18</v>
      </c>
      <c r="N17" s="32">
        <v>14</v>
      </c>
      <c r="O17" s="32">
        <v>35.83</v>
      </c>
      <c r="P17" s="32">
        <v>0.34</v>
      </c>
      <c r="Q17" s="32">
        <v>0.15</v>
      </c>
      <c r="R17" s="32" t="s">
        <v>172</v>
      </c>
      <c r="S17" s="32" t="s">
        <v>172</v>
      </c>
      <c r="T17" s="32" t="s">
        <v>172</v>
      </c>
      <c r="U17" s="32">
        <v>0.44</v>
      </c>
      <c r="V17" s="32" t="s">
        <v>172</v>
      </c>
      <c r="W17" s="32" t="s">
        <v>172</v>
      </c>
      <c r="X17" s="32" t="s">
        <v>172</v>
      </c>
      <c r="Y17" s="32" t="s">
        <v>172</v>
      </c>
      <c r="Z17" s="32" t="s">
        <v>172</v>
      </c>
      <c r="AA17" s="32" t="s">
        <v>172</v>
      </c>
      <c r="AB17" s="32" t="s">
        <v>172</v>
      </c>
      <c r="AC17" s="32" t="s">
        <v>172</v>
      </c>
      <c r="AD17" s="37"/>
      <c r="AE17" s="37"/>
      <c r="AF17" s="32"/>
      <c r="AG17" s="32"/>
      <c r="AH17" s="32"/>
      <c r="AI17" s="32"/>
      <c r="AJ17" s="32"/>
      <c r="AK17" s="32"/>
      <c r="AL17" s="32"/>
      <c r="AM17" s="32"/>
      <c r="AN17" s="37"/>
      <c r="AO17" s="37" t="s">
        <v>130</v>
      </c>
      <c r="AP17" s="32"/>
      <c r="AQ17" s="37"/>
      <c r="AR17" s="37" t="s">
        <v>174</v>
      </c>
      <c r="AS17" s="37"/>
    </row>
    <row r="18" spans="1:45" s="2" customFormat="1" x14ac:dyDescent="0.35">
      <c r="A18" s="32">
        <v>15</v>
      </c>
      <c r="B18" s="33" t="s">
        <v>153</v>
      </c>
      <c r="C18" s="33" t="s">
        <v>18</v>
      </c>
      <c r="D18" s="33" t="s">
        <v>18</v>
      </c>
      <c r="E18" s="32"/>
      <c r="F18" s="35">
        <v>3.6528</v>
      </c>
      <c r="G18" s="32">
        <v>0.24</v>
      </c>
      <c r="H18" s="45">
        <v>445</v>
      </c>
      <c r="I18" s="32">
        <v>20541</v>
      </c>
      <c r="J18" s="32">
        <v>6085</v>
      </c>
      <c r="K18" s="32">
        <v>295</v>
      </c>
      <c r="L18" s="32">
        <v>22</v>
      </c>
      <c r="M18" s="32">
        <v>20</v>
      </c>
      <c r="N18" s="32">
        <v>15</v>
      </c>
      <c r="O18" s="32">
        <v>35.380000000000003</v>
      </c>
      <c r="P18" s="32">
        <v>0.57999999999999996</v>
      </c>
      <c r="Q18" s="32">
        <v>0.3</v>
      </c>
      <c r="R18" s="32" t="s">
        <v>172</v>
      </c>
      <c r="S18" s="32" t="s">
        <v>172</v>
      </c>
      <c r="T18" s="32" t="s">
        <v>172</v>
      </c>
      <c r="U18" s="32">
        <v>0.08</v>
      </c>
      <c r="V18" s="32" t="s">
        <v>172</v>
      </c>
      <c r="W18" s="32" t="s">
        <v>172</v>
      </c>
      <c r="X18" s="32" t="s">
        <v>172</v>
      </c>
      <c r="Y18" s="32" t="s">
        <v>172</v>
      </c>
      <c r="Z18" s="32" t="s">
        <v>172</v>
      </c>
      <c r="AA18" s="32" t="s">
        <v>172</v>
      </c>
      <c r="AB18" s="32" t="s">
        <v>172</v>
      </c>
      <c r="AC18" s="32">
        <v>0.01</v>
      </c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 t="s">
        <v>130</v>
      </c>
      <c r="AP18" s="32"/>
      <c r="AQ18" s="32"/>
      <c r="AR18" s="33" t="s">
        <v>175</v>
      </c>
      <c r="AS18" s="32"/>
    </row>
    <row r="19" spans="1:45" x14ac:dyDescent="0.35">
      <c r="A19" s="32">
        <v>16</v>
      </c>
      <c r="B19" s="33" t="s">
        <v>28</v>
      </c>
      <c r="C19" s="33" t="s">
        <v>61</v>
      </c>
      <c r="D19" s="33" t="s">
        <v>188</v>
      </c>
      <c r="E19" s="32"/>
      <c r="F19" s="35">
        <v>3.4011999999999998</v>
      </c>
      <c r="G19" s="32">
        <v>0.08</v>
      </c>
      <c r="H19" s="32">
        <v>391</v>
      </c>
      <c r="I19" s="32">
        <v>9186</v>
      </c>
      <c r="J19" s="32">
        <v>927</v>
      </c>
      <c r="K19" s="32">
        <v>13</v>
      </c>
      <c r="L19" s="32">
        <v>20</v>
      </c>
      <c r="M19" s="32">
        <v>17</v>
      </c>
      <c r="N19" s="32">
        <v>11</v>
      </c>
      <c r="O19" s="32">
        <v>35.31</v>
      </c>
      <c r="P19" s="32">
        <v>0.09</v>
      </c>
      <c r="Q19" s="32" t="s">
        <v>172</v>
      </c>
      <c r="R19" s="32">
        <v>0.01</v>
      </c>
      <c r="S19" s="32">
        <v>0.01</v>
      </c>
      <c r="T19" s="32" t="s">
        <v>172</v>
      </c>
      <c r="U19" s="32">
        <v>1.4</v>
      </c>
      <c r="V19" s="32" t="s">
        <v>172</v>
      </c>
      <c r="W19" s="32" t="s">
        <v>172</v>
      </c>
      <c r="X19" s="32">
        <v>0.44</v>
      </c>
      <c r="Y19" s="32">
        <v>1.8</v>
      </c>
      <c r="Z19" s="32">
        <v>0.03</v>
      </c>
      <c r="AA19" s="32" t="s">
        <v>172</v>
      </c>
      <c r="AB19" s="32">
        <v>0</v>
      </c>
      <c r="AC19" s="32" t="s">
        <v>172</v>
      </c>
      <c r="AD19" s="37"/>
      <c r="AE19" s="37">
        <v>7.9000000000000001E-2</v>
      </c>
      <c r="AF19" s="32">
        <v>0.12</v>
      </c>
      <c r="AG19" s="32" t="s">
        <v>107</v>
      </c>
      <c r="AH19" s="32">
        <v>6.0000000000000001E-3</v>
      </c>
      <c r="AI19" s="32">
        <v>28</v>
      </c>
      <c r="AJ19" s="32">
        <v>2</v>
      </c>
      <c r="AK19" s="32" t="s">
        <v>154</v>
      </c>
      <c r="AL19" s="32">
        <v>12</v>
      </c>
      <c r="AM19" s="42"/>
      <c r="AN19" s="43"/>
      <c r="AO19" s="37" t="s">
        <v>129</v>
      </c>
      <c r="AP19" s="32"/>
      <c r="AQ19" s="37"/>
      <c r="AR19" s="37" t="s">
        <v>174</v>
      </c>
      <c r="AS19" s="37"/>
    </row>
    <row r="20" spans="1:45" x14ac:dyDescent="0.35">
      <c r="A20" s="32">
        <v>17</v>
      </c>
      <c r="B20" s="33" t="s">
        <v>29</v>
      </c>
      <c r="C20" s="33" t="s">
        <v>12</v>
      </c>
      <c r="D20" s="33" t="s">
        <v>187</v>
      </c>
      <c r="E20" s="32"/>
      <c r="F20" s="35">
        <v>3.4211</v>
      </c>
      <c r="G20" s="32">
        <v>0.1</v>
      </c>
      <c r="H20" s="32">
        <v>394</v>
      </c>
      <c r="I20" s="32">
        <v>4887</v>
      </c>
      <c r="J20" s="32">
        <v>471</v>
      </c>
      <c r="K20" s="32">
        <v>13</v>
      </c>
      <c r="L20" s="32">
        <v>19</v>
      </c>
      <c r="M20" s="32">
        <v>16</v>
      </c>
      <c r="N20" s="32">
        <v>11</v>
      </c>
      <c r="O20" s="32">
        <v>35.28</v>
      </c>
      <c r="P20" s="32">
        <v>0.15</v>
      </c>
      <c r="Q20" s="32">
        <v>0.04</v>
      </c>
      <c r="R20" s="32" t="s">
        <v>172</v>
      </c>
      <c r="S20" s="32" t="s">
        <v>172</v>
      </c>
      <c r="T20" s="32" t="s">
        <v>172</v>
      </c>
      <c r="U20" s="32">
        <v>1.35</v>
      </c>
      <c r="V20" s="32" t="s">
        <v>172</v>
      </c>
      <c r="W20" s="32" t="s">
        <v>172</v>
      </c>
      <c r="X20" s="32">
        <v>0.37</v>
      </c>
      <c r="Y20" s="32">
        <v>1.57</v>
      </c>
      <c r="Z20" s="32">
        <v>0.14000000000000001</v>
      </c>
      <c r="AA20" s="32" t="s">
        <v>172</v>
      </c>
      <c r="AB20" s="32">
        <v>0.05</v>
      </c>
      <c r="AC20" s="32" t="s">
        <v>172</v>
      </c>
      <c r="AD20" s="37"/>
      <c r="AE20" s="37">
        <v>9.4E-2</v>
      </c>
      <c r="AF20" s="32">
        <v>0.12</v>
      </c>
      <c r="AG20" s="32" t="s">
        <v>107</v>
      </c>
      <c r="AH20" s="32">
        <v>4.0000000000000001E-3</v>
      </c>
      <c r="AI20" s="32">
        <v>32</v>
      </c>
      <c r="AJ20" s="32">
        <v>2</v>
      </c>
      <c r="AK20" s="32" t="s">
        <v>154</v>
      </c>
      <c r="AL20" s="32">
        <v>8</v>
      </c>
      <c r="AM20" s="42"/>
      <c r="AN20" s="43"/>
      <c r="AO20" s="37" t="s">
        <v>129</v>
      </c>
      <c r="AP20" s="32"/>
      <c r="AQ20" s="37"/>
      <c r="AR20" s="37" t="s">
        <v>174</v>
      </c>
      <c r="AS20" s="37"/>
    </row>
    <row r="21" spans="1:45" x14ac:dyDescent="0.35">
      <c r="A21" s="32">
        <v>18</v>
      </c>
      <c r="B21" s="33" t="s">
        <v>30</v>
      </c>
      <c r="C21" s="33" t="s">
        <v>14</v>
      </c>
      <c r="D21" s="33" t="s">
        <v>187</v>
      </c>
      <c r="E21" s="32"/>
      <c r="F21" s="35">
        <v>3.4316</v>
      </c>
      <c r="G21" s="37"/>
      <c r="H21" s="37"/>
      <c r="I21" s="37"/>
      <c r="J21" s="37"/>
      <c r="K21" s="37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7"/>
      <c r="AE21" s="37"/>
      <c r="AF21" s="32"/>
      <c r="AG21" s="32"/>
      <c r="AH21" s="32"/>
      <c r="AI21" s="32"/>
      <c r="AJ21" s="32"/>
      <c r="AK21" s="32"/>
      <c r="AL21" s="32"/>
      <c r="AM21" s="32"/>
      <c r="AN21" s="37"/>
      <c r="AO21" s="37" t="s">
        <v>129</v>
      </c>
      <c r="AP21" s="32"/>
      <c r="AQ21" s="37"/>
      <c r="AR21" s="37"/>
      <c r="AS21" s="37"/>
    </row>
    <row r="22" spans="1:45" x14ac:dyDescent="0.35">
      <c r="A22" s="32">
        <v>19</v>
      </c>
      <c r="B22" s="33" t="s">
        <v>31</v>
      </c>
      <c r="C22" s="33" t="s">
        <v>16</v>
      </c>
      <c r="D22" s="33" t="s">
        <v>187</v>
      </c>
      <c r="E22" s="32"/>
      <c r="F22" s="35">
        <v>3.7324000000000002</v>
      </c>
      <c r="G22" s="32">
        <v>0.17</v>
      </c>
      <c r="H22" s="32">
        <v>297</v>
      </c>
      <c r="I22" s="32">
        <v>26297</v>
      </c>
      <c r="J22" s="32">
        <v>10412</v>
      </c>
      <c r="K22" s="32">
        <v>262</v>
      </c>
      <c r="L22" s="32">
        <v>22</v>
      </c>
      <c r="M22" s="32">
        <v>21</v>
      </c>
      <c r="N22" s="32">
        <v>15</v>
      </c>
      <c r="O22" s="32">
        <v>30.91</v>
      </c>
      <c r="P22" s="32">
        <v>0.2</v>
      </c>
      <c r="Q22" s="32">
        <v>0.1</v>
      </c>
      <c r="R22" s="32" t="s">
        <v>172</v>
      </c>
      <c r="S22" s="32" t="s">
        <v>172</v>
      </c>
      <c r="T22" s="32" t="s">
        <v>172</v>
      </c>
      <c r="U22" s="32">
        <v>1.0900000000000001</v>
      </c>
      <c r="V22" s="32" t="s">
        <v>172</v>
      </c>
      <c r="W22" s="32">
        <v>0.09</v>
      </c>
      <c r="X22" s="32">
        <v>0.01</v>
      </c>
      <c r="Y22" s="32" t="s">
        <v>172</v>
      </c>
      <c r="Z22" s="32" t="s">
        <v>172</v>
      </c>
      <c r="AA22" s="32" t="s">
        <v>172</v>
      </c>
      <c r="AB22" s="32" t="s">
        <v>172</v>
      </c>
      <c r="AC22" s="32">
        <v>0.01</v>
      </c>
      <c r="AD22" s="37"/>
      <c r="AE22" s="37"/>
      <c r="AF22" s="32"/>
      <c r="AG22" s="32"/>
      <c r="AH22" s="32"/>
      <c r="AI22" s="32"/>
      <c r="AJ22" s="32"/>
      <c r="AK22" s="32"/>
      <c r="AL22" s="32"/>
      <c r="AM22" s="32"/>
      <c r="AN22" s="37"/>
      <c r="AO22" s="37" t="s">
        <v>129</v>
      </c>
      <c r="AP22" s="32"/>
      <c r="AQ22" s="37"/>
      <c r="AR22" s="37" t="s">
        <v>174</v>
      </c>
      <c r="AS22" s="37"/>
    </row>
    <row r="23" spans="1:45" x14ac:dyDescent="0.35">
      <c r="A23" s="32">
        <v>20</v>
      </c>
      <c r="B23" s="33" t="s">
        <v>32</v>
      </c>
      <c r="C23" s="33" t="s">
        <v>18</v>
      </c>
      <c r="D23" s="33" t="s">
        <v>18</v>
      </c>
      <c r="E23" s="32"/>
      <c r="F23" s="27">
        <v>3.7402000000000002</v>
      </c>
      <c r="G23" s="32">
        <v>0.16</v>
      </c>
      <c r="H23" s="2">
        <v>308</v>
      </c>
      <c r="I23" s="32">
        <v>19518</v>
      </c>
      <c r="J23" s="32">
        <v>7210</v>
      </c>
      <c r="K23" s="32">
        <v>50</v>
      </c>
      <c r="L23" s="32">
        <v>21</v>
      </c>
      <c r="M23" s="32">
        <v>20</v>
      </c>
      <c r="N23" s="32">
        <v>13</v>
      </c>
      <c r="O23" s="32">
        <v>31.19</v>
      </c>
      <c r="P23" s="32">
        <v>0.12</v>
      </c>
      <c r="Q23" s="32">
        <v>0.01</v>
      </c>
      <c r="R23" s="32" t="s">
        <v>172</v>
      </c>
      <c r="S23" s="32" t="s">
        <v>172</v>
      </c>
      <c r="T23" s="32" t="s">
        <v>172</v>
      </c>
      <c r="U23" s="32">
        <v>0.81</v>
      </c>
      <c r="V23" s="32" t="s">
        <v>172</v>
      </c>
      <c r="W23" s="32">
        <v>0.04</v>
      </c>
      <c r="X23" s="32" t="s">
        <v>172</v>
      </c>
      <c r="Y23" s="32" t="s">
        <v>172</v>
      </c>
      <c r="Z23" s="32" t="s">
        <v>172</v>
      </c>
      <c r="AA23" s="32" t="s">
        <v>172</v>
      </c>
      <c r="AB23" s="32" t="s">
        <v>172</v>
      </c>
      <c r="AC23" s="32" t="s">
        <v>172</v>
      </c>
      <c r="AD23" s="37"/>
      <c r="AE23" s="37"/>
      <c r="AF23" s="32"/>
      <c r="AG23" s="32"/>
      <c r="AH23" s="32"/>
      <c r="AI23" s="32"/>
      <c r="AJ23" s="32"/>
      <c r="AK23" s="32"/>
      <c r="AL23" s="32"/>
      <c r="AM23" s="32"/>
      <c r="AN23" s="37"/>
      <c r="AO23" s="37" t="s">
        <v>129</v>
      </c>
      <c r="AP23" s="32"/>
      <c r="AQ23" s="37"/>
      <c r="AR23" s="37"/>
      <c r="AS23" s="37"/>
    </row>
    <row r="24" spans="1:45" x14ac:dyDescent="0.35">
      <c r="A24" s="32">
        <v>21</v>
      </c>
      <c r="B24" s="33" t="s">
        <v>34</v>
      </c>
      <c r="C24" s="33" t="s">
        <v>12</v>
      </c>
      <c r="D24" s="33" t="s">
        <v>187</v>
      </c>
      <c r="E24" s="32"/>
      <c r="F24" s="32">
        <v>3.52</v>
      </c>
      <c r="G24" s="32">
        <v>0.16</v>
      </c>
      <c r="H24" s="45">
        <v>403</v>
      </c>
      <c r="I24" s="32">
        <v>17455</v>
      </c>
      <c r="J24" s="32">
        <v>2835</v>
      </c>
      <c r="K24" s="32">
        <v>55</v>
      </c>
      <c r="L24" s="32">
        <v>21</v>
      </c>
      <c r="M24" s="32">
        <v>19</v>
      </c>
      <c r="N24" s="32">
        <v>13</v>
      </c>
      <c r="O24" s="32">
        <v>35.950000000000003</v>
      </c>
      <c r="P24" s="32">
        <v>0.21</v>
      </c>
      <c r="Q24" s="32" t="s">
        <v>172</v>
      </c>
      <c r="R24" s="32" t="s">
        <v>172</v>
      </c>
      <c r="S24" s="32" t="s">
        <v>172</v>
      </c>
      <c r="T24" s="32" t="s">
        <v>172</v>
      </c>
      <c r="U24" s="32">
        <v>0.57999999999999996</v>
      </c>
      <c r="V24" s="32" t="s">
        <v>172</v>
      </c>
      <c r="W24" s="32" t="s">
        <v>172</v>
      </c>
      <c r="X24" s="32" t="s">
        <v>172</v>
      </c>
      <c r="Y24" s="32" t="s">
        <v>172</v>
      </c>
      <c r="Z24" s="32">
        <v>0.04</v>
      </c>
      <c r="AA24" s="32" t="s">
        <v>172</v>
      </c>
      <c r="AB24" s="32">
        <v>0.01</v>
      </c>
      <c r="AC24" s="32" t="s">
        <v>172</v>
      </c>
      <c r="AD24" s="37"/>
      <c r="AE24" s="37"/>
      <c r="AF24" s="32"/>
      <c r="AG24" s="32"/>
      <c r="AH24" s="32"/>
      <c r="AI24" s="32"/>
      <c r="AJ24" s="32"/>
      <c r="AK24" s="32"/>
      <c r="AL24" s="32"/>
      <c r="AM24" s="32"/>
      <c r="AN24" s="37"/>
      <c r="AO24" s="37" t="s">
        <v>112</v>
      </c>
      <c r="AP24" s="32" t="s">
        <v>116</v>
      </c>
      <c r="AQ24" s="37" t="s">
        <v>119</v>
      </c>
      <c r="AS24" s="37"/>
    </row>
    <row r="25" spans="1:45" x14ac:dyDescent="0.35">
      <c r="A25" s="32">
        <v>22</v>
      </c>
      <c r="B25" s="33" t="s">
        <v>35</v>
      </c>
      <c r="C25" s="33" t="s">
        <v>14</v>
      </c>
      <c r="D25" s="33" t="s">
        <v>187</v>
      </c>
      <c r="E25" s="32"/>
      <c r="F25" s="35">
        <v>3.6671</v>
      </c>
      <c r="G25" s="2">
        <v>0.14000000000000001</v>
      </c>
      <c r="H25" s="46">
        <v>447</v>
      </c>
      <c r="I25" s="2">
        <v>172000</v>
      </c>
      <c r="J25" s="2">
        <v>3053</v>
      </c>
      <c r="K25" s="2">
        <v>27</v>
      </c>
      <c r="L25" s="2">
        <v>21</v>
      </c>
      <c r="M25" s="2">
        <v>19</v>
      </c>
      <c r="N25" s="2">
        <v>12</v>
      </c>
      <c r="O25" s="2">
        <v>35.07</v>
      </c>
      <c r="P25" s="2">
        <v>0.63</v>
      </c>
      <c r="Q25" s="2">
        <v>0.1</v>
      </c>
      <c r="R25" s="2" t="s">
        <v>172</v>
      </c>
      <c r="S25" s="2">
        <v>0.01</v>
      </c>
      <c r="T25" s="2" t="s">
        <v>172</v>
      </c>
      <c r="U25" s="2">
        <v>1.36</v>
      </c>
      <c r="V25" s="2" t="s">
        <v>172</v>
      </c>
      <c r="W25" s="2">
        <v>0.16</v>
      </c>
      <c r="X25" s="2" t="s">
        <v>172</v>
      </c>
      <c r="Y25" s="2" t="s">
        <v>172</v>
      </c>
      <c r="Z25" s="2">
        <v>0.05</v>
      </c>
      <c r="AA25" s="2" t="s">
        <v>172</v>
      </c>
      <c r="AB25" s="2">
        <v>0.04</v>
      </c>
      <c r="AC25" s="2" t="s">
        <v>172</v>
      </c>
      <c r="AE25" s="1">
        <v>0.107</v>
      </c>
      <c r="AF25" s="32">
        <v>0.08</v>
      </c>
      <c r="AG25" s="32" t="s">
        <v>107</v>
      </c>
      <c r="AH25" s="32">
        <v>1.2E-2</v>
      </c>
      <c r="AI25" s="32">
        <v>23</v>
      </c>
      <c r="AJ25" s="32"/>
      <c r="AK25" s="32" t="s">
        <v>154</v>
      </c>
      <c r="AL25" s="32">
        <v>9</v>
      </c>
      <c r="AM25" s="42"/>
      <c r="AN25" s="43"/>
      <c r="AO25" s="37" t="s">
        <v>112</v>
      </c>
      <c r="AP25" s="32" t="s">
        <v>116</v>
      </c>
      <c r="AQ25" s="37" t="s">
        <v>120</v>
      </c>
      <c r="AS25" s="37"/>
    </row>
    <row r="26" spans="1:45" x14ac:dyDescent="0.35">
      <c r="A26" s="32">
        <v>23</v>
      </c>
      <c r="B26" s="33" t="s">
        <v>36</v>
      </c>
      <c r="C26" s="33" t="s">
        <v>16</v>
      </c>
      <c r="D26" s="33" t="s">
        <v>187</v>
      </c>
      <c r="E26" s="32"/>
      <c r="F26" s="35">
        <v>3.6013999999999999</v>
      </c>
      <c r="G26" s="32">
        <v>0.16</v>
      </c>
      <c r="H26" s="32">
        <v>245</v>
      </c>
      <c r="I26" s="32">
        <v>13705</v>
      </c>
      <c r="J26" s="32">
        <v>4377</v>
      </c>
      <c r="K26" s="32">
        <v>516</v>
      </c>
      <c r="L26" s="32">
        <v>21</v>
      </c>
      <c r="M26" s="32">
        <v>19</v>
      </c>
      <c r="N26" s="32">
        <v>16</v>
      </c>
      <c r="O26" s="32">
        <v>35.909999999999997</v>
      </c>
      <c r="P26" s="32">
        <v>0.13</v>
      </c>
      <c r="Q26" s="32">
        <v>0.04</v>
      </c>
      <c r="R26" s="32" t="s">
        <v>172</v>
      </c>
      <c r="S26" s="32" t="s">
        <v>172</v>
      </c>
      <c r="T26" s="32" t="s">
        <v>172</v>
      </c>
      <c r="U26" s="32">
        <v>0.62</v>
      </c>
      <c r="V26" s="32" t="s">
        <v>172</v>
      </c>
      <c r="W26" s="32" t="s">
        <v>172</v>
      </c>
      <c r="X26" s="32" t="s">
        <v>172</v>
      </c>
      <c r="Y26" s="32" t="s">
        <v>172</v>
      </c>
      <c r="Z26" s="32" t="s">
        <v>172</v>
      </c>
      <c r="AA26" s="32" t="s">
        <v>172</v>
      </c>
      <c r="AB26" s="32">
        <v>0.05</v>
      </c>
      <c r="AC26" s="32" t="s">
        <v>172</v>
      </c>
      <c r="AD26" s="37"/>
      <c r="AE26" s="37"/>
      <c r="AF26" s="32"/>
      <c r="AG26" s="32"/>
      <c r="AH26" s="32"/>
      <c r="AI26" s="32"/>
      <c r="AJ26" s="32"/>
      <c r="AK26" s="32"/>
      <c r="AL26" s="32"/>
      <c r="AM26" s="32"/>
      <c r="AN26" s="37"/>
      <c r="AO26" s="37" t="s">
        <v>112</v>
      </c>
      <c r="AP26" s="32" t="s">
        <v>116</v>
      </c>
      <c r="AQ26" s="37" t="s">
        <v>121</v>
      </c>
      <c r="AR26" s="37" t="s">
        <v>175</v>
      </c>
      <c r="AS26" s="37"/>
    </row>
    <row r="27" spans="1:45" x14ac:dyDescent="0.35">
      <c r="A27" s="32">
        <v>24</v>
      </c>
      <c r="B27" s="33" t="s">
        <v>37</v>
      </c>
      <c r="C27" s="33" t="s">
        <v>38</v>
      </c>
      <c r="D27" s="33"/>
      <c r="E27" s="32"/>
      <c r="F27" s="35">
        <v>4.1848000000000001</v>
      </c>
      <c r="G27" s="32">
        <v>0.21</v>
      </c>
      <c r="H27" s="45">
        <v>1183</v>
      </c>
      <c r="I27" s="32">
        <v>37206</v>
      </c>
      <c r="J27" s="32">
        <v>34981</v>
      </c>
      <c r="K27" s="32">
        <v>21571</v>
      </c>
      <c r="L27" s="32">
        <v>22</v>
      </c>
      <c r="M27" s="32">
        <v>22</v>
      </c>
      <c r="N27" s="32">
        <v>22</v>
      </c>
      <c r="O27" s="32">
        <v>35.700000000000003</v>
      </c>
      <c r="P27" s="32">
        <v>4.71</v>
      </c>
      <c r="Q27" s="32">
        <v>0.54</v>
      </c>
      <c r="R27" s="32" t="s">
        <v>172</v>
      </c>
      <c r="S27" s="32" t="s">
        <v>172</v>
      </c>
      <c r="T27" s="32">
        <v>1.34</v>
      </c>
      <c r="U27" s="32">
        <v>1.1000000000000001</v>
      </c>
      <c r="V27" s="32">
        <v>1.42</v>
      </c>
      <c r="W27" s="45">
        <v>21.58</v>
      </c>
      <c r="X27" s="45">
        <v>20.5</v>
      </c>
      <c r="Y27" s="32" t="s">
        <v>172</v>
      </c>
      <c r="Z27" s="32" t="s">
        <v>172</v>
      </c>
      <c r="AA27" s="45">
        <v>22.16</v>
      </c>
      <c r="AB27" s="32">
        <v>0.19</v>
      </c>
      <c r="AC27" s="32">
        <v>0.05</v>
      </c>
      <c r="AD27" s="37"/>
      <c r="AE27" s="37"/>
      <c r="AF27" s="32"/>
      <c r="AG27" s="32"/>
      <c r="AH27" s="32"/>
      <c r="AI27" s="32"/>
      <c r="AJ27" s="32"/>
      <c r="AK27" s="32"/>
      <c r="AL27" s="32"/>
      <c r="AM27" s="32"/>
      <c r="AN27" s="37"/>
      <c r="AO27" s="37" t="s">
        <v>112</v>
      </c>
      <c r="AP27" s="32" t="s">
        <v>116</v>
      </c>
      <c r="AQ27" s="37" t="s">
        <v>122</v>
      </c>
      <c r="AR27" s="37" t="s">
        <v>174</v>
      </c>
      <c r="AS27" s="37"/>
    </row>
    <row r="28" spans="1:45" x14ac:dyDescent="0.35">
      <c r="A28" s="32">
        <v>25</v>
      </c>
      <c r="B28" s="33" t="s">
        <v>39</v>
      </c>
      <c r="C28" s="33" t="s">
        <v>40</v>
      </c>
      <c r="D28" s="33" t="s">
        <v>18</v>
      </c>
      <c r="E28" s="32"/>
      <c r="F28" s="35">
        <v>4.0522999999999998</v>
      </c>
      <c r="G28" s="32">
        <v>0.14000000000000001</v>
      </c>
      <c r="H28" s="46">
        <v>978</v>
      </c>
      <c r="I28" s="32">
        <v>43686</v>
      </c>
      <c r="J28" s="32">
        <v>36090</v>
      </c>
      <c r="K28" s="32">
        <v>7328</v>
      </c>
      <c r="L28" s="32">
        <v>23</v>
      </c>
      <c r="M28" s="32">
        <v>22</v>
      </c>
      <c r="N28" s="32">
        <v>20</v>
      </c>
      <c r="O28" s="32">
        <v>34.83</v>
      </c>
      <c r="P28" s="32">
        <v>3.15</v>
      </c>
      <c r="Q28" s="32">
        <v>0.2</v>
      </c>
      <c r="R28" s="32" t="s">
        <v>172</v>
      </c>
      <c r="S28" s="32" t="s">
        <v>172</v>
      </c>
      <c r="T28" s="32">
        <v>1.64</v>
      </c>
      <c r="U28" s="32">
        <v>1.03</v>
      </c>
      <c r="V28" s="32">
        <v>2.75</v>
      </c>
      <c r="W28" s="45">
        <v>56.12</v>
      </c>
      <c r="X28" s="45">
        <v>34.93</v>
      </c>
      <c r="Y28" s="32" t="s">
        <v>172</v>
      </c>
      <c r="Z28" s="32" t="s">
        <v>172</v>
      </c>
      <c r="AA28" s="45">
        <v>36.409999999999997</v>
      </c>
      <c r="AB28" s="32">
        <v>0.22</v>
      </c>
      <c r="AC28" s="32">
        <v>0.04</v>
      </c>
      <c r="AD28" s="37"/>
      <c r="AE28" s="37"/>
      <c r="AF28" s="32"/>
      <c r="AG28" s="32"/>
      <c r="AH28" s="32"/>
      <c r="AI28" s="32"/>
      <c r="AJ28" s="32"/>
      <c r="AK28" s="32"/>
      <c r="AL28" s="32"/>
      <c r="AM28" s="32"/>
      <c r="AN28" s="37"/>
      <c r="AO28" s="37" t="s">
        <v>112</v>
      </c>
      <c r="AP28" s="32" t="s">
        <v>116</v>
      </c>
      <c r="AQ28" s="37" t="s">
        <v>123</v>
      </c>
      <c r="AR28" s="37" t="s">
        <v>175</v>
      </c>
      <c r="AS28" s="37"/>
    </row>
    <row r="29" spans="1:45" x14ac:dyDescent="0.35">
      <c r="A29" s="32">
        <v>26</v>
      </c>
      <c r="B29" s="33" t="s">
        <v>41</v>
      </c>
      <c r="C29" s="33" t="s">
        <v>42</v>
      </c>
      <c r="D29" s="33" t="s">
        <v>18</v>
      </c>
      <c r="E29" s="32"/>
      <c r="F29" s="35">
        <v>3.6598999999999999</v>
      </c>
      <c r="G29" s="32">
        <v>0.15</v>
      </c>
      <c r="H29" s="32">
        <v>363</v>
      </c>
      <c r="I29" s="32">
        <v>23309</v>
      </c>
      <c r="J29" s="32">
        <v>11229</v>
      </c>
      <c r="K29" s="32">
        <v>1134</v>
      </c>
      <c r="L29" s="32">
        <v>22</v>
      </c>
      <c r="M29" s="32">
        <v>21</v>
      </c>
      <c r="N29" s="32">
        <v>17</v>
      </c>
      <c r="O29" s="32">
        <v>34.659999999999997</v>
      </c>
      <c r="P29" s="32">
        <v>0.35</v>
      </c>
      <c r="Q29" s="32">
        <v>0.09</v>
      </c>
      <c r="R29" s="32" t="s">
        <v>172</v>
      </c>
      <c r="S29" s="32" t="s">
        <v>172</v>
      </c>
      <c r="T29" s="32" t="s">
        <v>172</v>
      </c>
      <c r="U29" s="32">
        <v>1.0900000000000001</v>
      </c>
      <c r="V29" s="32" t="s">
        <v>172</v>
      </c>
      <c r="W29" s="45">
        <v>0.41</v>
      </c>
      <c r="X29" s="32" t="s">
        <v>172</v>
      </c>
      <c r="Y29" s="32" t="s">
        <v>172</v>
      </c>
      <c r="Z29" s="32" t="s">
        <v>172</v>
      </c>
      <c r="AA29" s="32" t="s">
        <v>172</v>
      </c>
      <c r="AB29" s="32" t="s">
        <v>172</v>
      </c>
      <c r="AC29" s="32" t="s">
        <v>172</v>
      </c>
      <c r="AD29" s="37"/>
      <c r="AE29" s="37"/>
      <c r="AF29" s="32"/>
      <c r="AG29" s="32"/>
      <c r="AH29" s="32"/>
      <c r="AI29" s="32"/>
      <c r="AJ29" s="32"/>
      <c r="AK29" s="32"/>
      <c r="AL29" s="32"/>
      <c r="AM29" s="32"/>
      <c r="AN29" s="37"/>
      <c r="AO29" s="37" t="s">
        <v>112</v>
      </c>
      <c r="AP29" s="32" t="s">
        <v>116</v>
      </c>
      <c r="AQ29" s="37" t="s">
        <v>124</v>
      </c>
      <c r="AR29" s="37" t="s">
        <v>175</v>
      </c>
      <c r="AS29" s="37"/>
    </row>
    <row r="30" spans="1:45" x14ac:dyDescent="0.35">
      <c r="A30" s="32">
        <v>27</v>
      </c>
      <c r="B30" s="33" t="s">
        <v>43</v>
      </c>
      <c r="C30" s="33" t="s">
        <v>12</v>
      </c>
      <c r="D30" s="33" t="s">
        <v>187</v>
      </c>
      <c r="E30" s="32"/>
      <c r="F30" s="35">
        <v>3.3340999999999998</v>
      </c>
      <c r="G30" s="32">
        <v>0.49</v>
      </c>
      <c r="H30" s="32">
        <v>357</v>
      </c>
      <c r="I30" s="32">
        <v>26670</v>
      </c>
      <c r="J30" s="32">
        <v>11259</v>
      </c>
      <c r="K30" s="32">
        <v>823</v>
      </c>
      <c r="L30" s="32">
        <v>22</v>
      </c>
      <c r="M30" s="32">
        <v>21</v>
      </c>
      <c r="N30" s="32">
        <v>17</v>
      </c>
      <c r="O30" s="32">
        <v>30.38</v>
      </c>
      <c r="P30" s="32">
        <v>2.93</v>
      </c>
      <c r="Q30" s="32" t="s">
        <v>172</v>
      </c>
      <c r="R30" s="32" t="s">
        <v>172</v>
      </c>
      <c r="S30" s="32" t="s">
        <v>172</v>
      </c>
      <c r="T30" s="32" t="s">
        <v>172</v>
      </c>
      <c r="U30" s="32">
        <v>1.24</v>
      </c>
      <c r="V30" s="32" t="s">
        <v>172</v>
      </c>
      <c r="W30" s="32">
        <v>0.01</v>
      </c>
      <c r="X30" s="32" t="s">
        <v>172</v>
      </c>
      <c r="Y30" s="32" t="s">
        <v>172</v>
      </c>
      <c r="Z30" s="32" t="s">
        <v>172</v>
      </c>
      <c r="AA30" s="32" t="s">
        <v>172</v>
      </c>
      <c r="AB30" s="32" t="s">
        <v>172</v>
      </c>
      <c r="AC30" s="32">
        <v>0.01</v>
      </c>
      <c r="AD30" s="37"/>
      <c r="AE30" s="37"/>
      <c r="AF30" s="32"/>
      <c r="AG30" s="32"/>
      <c r="AH30" s="32"/>
      <c r="AI30" s="32"/>
      <c r="AJ30" s="32"/>
      <c r="AK30" s="32"/>
      <c r="AL30" s="32"/>
      <c r="AM30" s="32"/>
      <c r="AN30" s="37"/>
      <c r="AO30" s="37" t="s">
        <v>113</v>
      </c>
      <c r="AP30" s="32" t="s">
        <v>116</v>
      </c>
      <c r="AQ30" s="37" t="s">
        <v>119</v>
      </c>
      <c r="AR30" s="37" t="s">
        <v>174</v>
      </c>
      <c r="AS30" s="37"/>
    </row>
    <row r="31" spans="1:45" x14ac:dyDescent="0.35">
      <c r="A31" s="32">
        <v>28</v>
      </c>
      <c r="B31" s="33" t="s">
        <v>44</v>
      </c>
      <c r="C31" s="33" t="s">
        <v>14</v>
      </c>
      <c r="D31" s="33" t="s">
        <v>187</v>
      </c>
      <c r="E31" s="32"/>
      <c r="F31" s="35">
        <v>3.2681</v>
      </c>
      <c r="G31" s="32">
        <v>0.13</v>
      </c>
      <c r="H31" s="32">
        <v>342</v>
      </c>
      <c r="I31" s="32">
        <v>21199</v>
      </c>
      <c r="J31" s="32">
        <v>4598</v>
      </c>
      <c r="K31" s="32">
        <v>62</v>
      </c>
      <c r="L31" s="32">
        <v>22</v>
      </c>
      <c r="M31" s="32">
        <v>19</v>
      </c>
      <c r="N31" s="32">
        <v>13</v>
      </c>
      <c r="O31" s="32">
        <v>30.66</v>
      </c>
      <c r="P31" s="32">
        <v>0.93</v>
      </c>
      <c r="Q31" s="32">
        <v>0.04</v>
      </c>
      <c r="R31" s="32" t="s">
        <v>172</v>
      </c>
      <c r="S31" s="32">
        <v>0.08</v>
      </c>
      <c r="T31" s="32" t="s">
        <v>172</v>
      </c>
      <c r="U31" s="32">
        <v>1.17</v>
      </c>
      <c r="V31" s="32" t="s">
        <v>172</v>
      </c>
      <c r="W31" s="32" t="s">
        <v>172</v>
      </c>
      <c r="X31" s="32" t="s">
        <v>172</v>
      </c>
      <c r="Y31" s="32">
        <v>0.36</v>
      </c>
      <c r="Z31" s="32">
        <v>0.03</v>
      </c>
      <c r="AA31" s="32" t="s">
        <v>172</v>
      </c>
      <c r="AB31" s="32">
        <v>0.05</v>
      </c>
      <c r="AC31" s="32">
        <v>0.01</v>
      </c>
      <c r="AD31" s="37"/>
      <c r="AE31" s="37">
        <v>8.5999999999999993E-2</v>
      </c>
      <c r="AF31" s="32">
        <v>7.0000000000000007E-2</v>
      </c>
      <c r="AG31" s="32" t="s">
        <v>107</v>
      </c>
      <c r="AH31" s="32">
        <v>1.0999999999999999E-2</v>
      </c>
      <c r="AI31" s="32">
        <v>10</v>
      </c>
      <c r="AJ31" s="32">
        <v>2.5</v>
      </c>
      <c r="AK31" s="32" t="s">
        <v>154</v>
      </c>
      <c r="AL31" s="32">
        <v>12</v>
      </c>
      <c r="AM31" s="42"/>
      <c r="AN31" s="43"/>
      <c r="AO31" s="37" t="s">
        <v>113</v>
      </c>
      <c r="AP31" s="32" t="s">
        <v>116</v>
      </c>
      <c r="AQ31" s="37" t="s">
        <v>120</v>
      </c>
      <c r="AR31" s="37" t="s">
        <v>174</v>
      </c>
      <c r="AS31" s="37"/>
    </row>
    <row r="32" spans="1:45" x14ac:dyDescent="0.35">
      <c r="A32" s="32">
        <v>29</v>
      </c>
      <c r="B32" s="33" t="s">
        <v>45</v>
      </c>
      <c r="C32" s="33" t="s">
        <v>16</v>
      </c>
      <c r="D32" s="33" t="s">
        <v>187</v>
      </c>
      <c r="E32" s="32"/>
      <c r="F32" s="35">
        <v>3.7608000000000001</v>
      </c>
      <c r="G32" s="32">
        <v>0.14000000000000001</v>
      </c>
      <c r="H32" s="45">
        <v>441</v>
      </c>
      <c r="I32" s="32">
        <v>6920</v>
      </c>
      <c r="J32" s="32">
        <v>1879</v>
      </c>
      <c r="K32" s="32">
        <v>317</v>
      </c>
      <c r="L32" s="32">
        <v>20</v>
      </c>
      <c r="M32" s="32">
        <v>18</v>
      </c>
      <c r="N32" s="32">
        <v>15</v>
      </c>
      <c r="O32" s="32">
        <v>35.03</v>
      </c>
      <c r="P32" s="32">
        <v>0.7</v>
      </c>
      <c r="Q32" s="32" t="s">
        <v>172</v>
      </c>
      <c r="R32" s="32" t="s">
        <v>172</v>
      </c>
      <c r="S32" s="32" t="s">
        <v>172</v>
      </c>
      <c r="T32" s="32" t="s">
        <v>172</v>
      </c>
      <c r="U32" s="32">
        <v>0.85</v>
      </c>
      <c r="V32" s="32" t="s">
        <v>172</v>
      </c>
      <c r="W32" s="32">
        <v>7.0000000000000007E-2</v>
      </c>
      <c r="X32" s="32" t="s">
        <v>172</v>
      </c>
      <c r="Y32" s="32" t="s">
        <v>172</v>
      </c>
      <c r="Z32" s="32" t="s">
        <v>172</v>
      </c>
      <c r="AA32" s="32" t="s">
        <v>172</v>
      </c>
      <c r="AB32" s="32" t="s">
        <v>172</v>
      </c>
      <c r="AC32" s="32" t="s">
        <v>172</v>
      </c>
      <c r="AD32" s="37"/>
      <c r="AE32" s="37"/>
      <c r="AF32" s="32"/>
      <c r="AG32" s="32"/>
      <c r="AH32" s="32"/>
      <c r="AI32" s="32"/>
      <c r="AJ32" s="32"/>
      <c r="AK32" s="32"/>
      <c r="AL32" s="32"/>
      <c r="AM32" s="32"/>
      <c r="AN32" s="37"/>
      <c r="AO32" s="37" t="s">
        <v>113</v>
      </c>
      <c r="AP32" s="32" t="s">
        <v>116</v>
      </c>
      <c r="AQ32" s="37" t="s">
        <v>125</v>
      </c>
      <c r="AR32" s="37" t="s">
        <v>175</v>
      </c>
      <c r="AS32" s="37"/>
    </row>
    <row r="33" spans="1:45" s="2" customFormat="1" x14ac:dyDescent="0.35">
      <c r="A33" s="32">
        <v>30</v>
      </c>
      <c r="B33" s="33" t="s">
        <v>46</v>
      </c>
      <c r="C33" s="33" t="s">
        <v>40</v>
      </c>
      <c r="D33" s="33" t="s">
        <v>18</v>
      </c>
      <c r="E33" s="32"/>
      <c r="F33" s="35">
        <v>3.3777200000000001</v>
      </c>
      <c r="G33" s="32">
        <v>0.14000000000000001</v>
      </c>
      <c r="H33" s="45">
        <v>439</v>
      </c>
      <c r="I33" s="32">
        <v>12221</v>
      </c>
      <c r="J33" s="32">
        <v>2104</v>
      </c>
      <c r="K33" s="32">
        <v>188</v>
      </c>
      <c r="L33" s="32">
        <v>21</v>
      </c>
      <c r="M33" s="32">
        <v>18</v>
      </c>
      <c r="N33" s="32">
        <v>15</v>
      </c>
      <c r="O33" s="32">
        <v>32.04</v>
      </c>
      <c r="P33" s="32">
        <v>0.06</v>
      </c>
      <c r="Q33" s="32" t="s">
        <v>172</v>
      </c>
      <c r="R33" s="32" t="s">
        <v>172</v>
      </c>
      <c r="S33" s="32" t="s">
        <v>172</v>
      </c>
      <c r="T33" s="32" t="s">
        <v>172</v>
      </c>
      <c r="U33" s="32">
        <v>1.01</v>
      </c>
      <c r="V33" s="32" t="s">
        <v>172</v>
      </c>
      <c r="W33" s="32">
        <v>0.06</v>
      </c>
      <c r="X33" s="32" t="s">
        <v>172</v>
      </c>
      <c r="Y33" s="32" t="s">
        <v>172</v>
      </c>
      <c r="Z33" s="32" t="s">
        <v>172</v>
      </c>
      <c r="AA33" s="32" t="s">
        <v>172</v>
      </c>
      <c r="AB33" s="32" t="s">
        <v>172</v>
      </c>
      <c r="AC33" s="32" t="s">
        <v>172</v>
      </c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 t="s">
        <v>113</v>
      </c>
      <c r="AP33" s="32" t="s">
        <v>116</v>
      </c>
      <c r="AQ33" s="32" t="s">
        <v>123</v>
      </c>
      <c r="AR33" s="37" t="s">
        <v>175</v>
      </c>
      <c r="AS33" s="32"/>
    </row>
    <row r="34" spans="1:45" x14ac:dyDescent="0.35">
      <c r="A34" s="32">
        <v>31</v>
      </c>
      <c r="B34" s="33" t="s">
        <v>47</v>
      </c>
      <c r="C34" s="33" t="s">
        <v>42</v>
      </c>
      <c r="D34" s="33" t="s">
        <v>18</v>
      </c>
      <c r="E34" s="32"/>
      <c r="F34" s="35">
        <v>3.3089</v>
      </c>
      <c r="G34" s="32">
        <v>0.17</v>
      </c>
      <c r="H34" s="45">
        <v>468</v>
      </c>
      <c r="I34" s="32">
        <v>23726</v>
      </c>
      <c r="J34" s="32">
        <v>12493</v>
      </c>
      <c r="K34" s="32">
        <v>1903</v>
      </c>
      <c r="L34" s="32">
        <v>22</v>
      </c>
      <c r="M34" s="32">
        <v>21</v>
      </c>
      <c r="N34" s="32">
        <v>18</v>
      </c>
      <c r="O34" s="32">
        <v>32.11</v>
      </c>
      <c r="P34" s="32">
        <v>0.2</v>
      </c>
      <c r="Q34" s="32">
        <v>0.01</v>
      </c>
      <c r="R34" s="32" t="s">
        <v>172</v>
      </c>
      <c r="S34" s="32" t="s">
        <v>172</v>
      </c>
      <c r="T34" s="32" t="s">
        <v>172</v>
      </c>
      <c r="U34" s="32">
        <v>0.97</v>
      </c>
      <c r="V34" s="32" t="s">
        <v>172</v>
      </c>
      <c r="W34" s="32">
        <v>0.03</v>
      </c>
      <c r="X34" s="32" t="s">
        <v>172</v>
      </c>
      <c r="Y34" s="32" t="s">
        <v>172</v>
      </c>
      <c r="Z34" s="32" t="s">
        <v>172</v>
      </c>
      <c r="AA34" s="32" t="s">
        <v>172</v>
      </c>
      <c r="AB34" s="32" t="s">
        <v>172</v>
      </c>
      <c r="AC34" s="32">
        <v>0.01</v>
      </c>
      <c r="AD34" s="37"/>
      <c r="AE34" s="37"/>
      <c r="AF34" s="32"/>
      <c r="AG34" s="32"/>
      <c r="AH34" s="32"/>
      <c r="AI34" s="32"/>
      <c r="AJ34" s="32"/>
      <c r="AK34" s="32"/>
      <c r="AL34" s="32"/>
      <c r="AM34" s="32"/>
      <c r="AN34" s="37"/>
      <c r="AO34" s="37" t="s">
        <v>113</v>
      </c>
      <c r="AP34" s="32" t="s">
        <v>116</v>
      </c>
      <c r="AQ34" s="37" t="s">
        <v>124</v>
      </c>
      <c r="AR34" s="37"/>
      <c r="AS34" s="37"/>
    </row>
    <row r="35" spans="1:45" x14ac:dyDescent="0.35">
      <c r="A35" s="32">
        <v>32</v>
      </c>
      <c r="B35" s="33" t="s">
        <v>48</v>
      </c>
      <c r="C35" s="33" t="s">
        <v>12</v>
      </c>
      <c r="D35" s="33" t="s">
        <v>187</v>
      </c>
      <c r="E35" s="32"/>
      <c r="F35" s="35">
        <v>3.6055999999999999</v>
      </c>
      <c r="G35" s="32">
        <v>0.48</v>
      </c>
      <c r="H35" s="45">
        <v>531</v>
      </c>
      <c r="I35" s="32">
        <v>22052</v>
      </c>
      <c r="J35" s="32">
        <v>8684</v>
      </c>
      <c r="K35" s="32">
        <v>1102</v>
      </c>
      <c r="L35" s="32">
        <v>22</v>
      </c>
      <c r="M35" s="32">
        <v>20</v>
      </c>
      <c r="N35" s="44">
        <v>17</v>
      </c>
      <c r="O35" s="32">
        <v>36.049999999999997</v>
      </c>
      <c r="P35" s="32">
        <v>0.12</v>
      </c>
      <c r="Q35" s="32">
        <v>0.05</v>
      </c>
      <c r="R35" s="32">
        <v>0.1</v>
      </c>
      <c r="S35" s="32">
        <v>0.03</v>
      </c>
      <c r="T35" s="32" t="s">
        <v>172</v>
      </c>
      <c r="U35" s="32">
        <v>1.67</v>
      </c>
      <c r="V35" s="32" t="s">
        <v>172</v>
      </c>
      <c r="W35" s="32">
        <v>0</v>
      </c>
      <c r="X35" s="32" t="s">
        <v>172</v>
      </c>
      <c r="Y35" s="32">
        <v>1.72</v>
      </c>
      <c r="Z35" s="32">
        <v>0</v>
      </c>
      <c r="AA35" s="32" t="s">
        <v>172</v>
      </c>
      <c r="AB35" s="32">
        <v>0.02</v>
      </c>
      <c r="AC35" s="32" t="s">
        <v>172</v>
      </c>
      <c r="AD35" s="37"/>
      <c r="AE35" s="37"/>
      <c r="AF35" s="32"/>
      <c r="AG35" s="32"/>
      <c r="AH35" s="32"/>
      <c r="AI35" s="32"/>
      <c r="AJ35" s="32"/>
      <c r="AK35" s="32"/>
      <c r="AL35" s="32"/>
      <c r="AM35" s="32"/>
      <c r="AN35" s="37"/>
      <c r="AO35" s="37" t="s">
        <v>114</v>
      </c>
      <c r="AP35" s="32" t="s">
        <v>117</v>
      </c>
      <c r="AQ35" s="37" t="s">
        <v>119</v>
      </c>
      <c r="AR35" s="37" t="s">
        <v>175</v>
      </c>
      <c r="AS35" s="37"/>
    </row>
    <row r="36" spans="1:45" x14ac:dyDescent="0.35">
      <c r="A36" s="32">
        <v>33</v>
      </c>
      <c r="B36" s="33" t="s">
        <v>49</v>
      </c>
      <c r="C36" s="33" t="s">
        <v>14</v>
      </c>
      <c r="D36" s="33" t="s">
        <v>187</v>
      </c>
      <c r="E36" s="32"/>
      <c r="F36" s="35">
        <v>3.6488999999999998</v>
      </c>
      <c r="G36" s="1">
        <v>0.16</v>
      </c>
      <c r="H36" s="1">
        <v>361</v>
      </c>
      <c r="I36" s="1">
        <v>26318</v>
      </c>
      <c r="J36" s="1">
        <v>9470</v>
      </c>
      <c r="K36" s="1">
        <v>424</v>
      </c>
      <c r="L36" s="2">
        <v>22</v>
      </c>
      <c r="M36" s="2">
        <v>20</v>
      </c>
      <c r="N36" s="2">
        <v>16</v>
      </c>
      <c r="O36" s="2">
        <v>36.01</v>
      </c>
      <c r="P36" s="2">
        <v>0.21</v>
      </c>
      <c r="Q36" s="2">
        <v>0.01</v>
      </c>
      <c r="R36" s="2" t="s">
        <v>172</v>
      </c>
      <c r="S36" s="2" t="s">
        <v>172</v>
      </c>
      <c r="T36" s="2" t="s">
        <v>172</v>
      </c>
      <c r="U36" s="2">
        <v>1.21</v>
      </c>
      <c r="V36" s="2" t="s">
        <v>172</v>
      </c>
      <c r="W36" s="2" t="s">
        <v>172</v>
      </c>
      <c r="X36" s="2" t="s">
        <v>172</v>
      </c>
      <c r="Y36" s="2" t="s">
        <v>172</v>
      </c>
      <c r="Z36" s="2">
        <v>0.01</v>
      </c>
      <c r="AA36" s="2" t="s">
        <v>172</v>
      </c>
      <c r="AB36" s="2">
        <v>0.04</v>
      </c>
      <c r="AC36" s="2">
        <v>0.01</v>
      </c>
      <c r="AD36" s="37"/>
      <c r="AE36" s="37">
        <v>0.129</v>
      </c>
      <c r="AF36" s="32">
        <v>0.08</v>
      </c>
      <c r="AG36" s="32" t="s">
        <v>107</v>
      </c>
      <c r="AH36" s="32">
        <v>6.0000000000000001E-3</v>
      </c>
      <c r="AI36" s="32">
        <v>32</v>
      </c>
      <c r="AJ36" s="32">
        <v>3</v>
      </c>
      <c r="AK36" s="32" t="s">
        <v>154</v>
      </c>
      <c r="AL36" s="32">
        <v>19</v>
      </c>
      <c r="AM36" s="42"/>
      <c r="AN36" s="43"/>
      <c r="AO36" s="37" t="s">
        <v>114</v>
      </c>
      <c r="AP36" s="32" t="s">
        <v>117</v>
      </c>
      <c r="AQ36" s="37" t="s">
        <v>120</v>
      </c>
      <c r="AR36" s="37" t="s">
        <v>174</v>
      </c>
      <c r="AS36" s="37"/>
    </row>
    <row r="37" spans="1:45" x14ac:dyDescent="0.35">
      <c r="A37" s="32">
        <v>34</v>
      </c>
      <c r="B37" s="33" t="s">
        <v>50</v>
      </c>
      <c r="C37" s="33" t="s">
        <v>16</v>
      </c>
      <c r="D37" s="33" t="s">
        <v>187</v>
      </c>
      <c r="E37" s="32"/>
      <c r="F37" s="35">
        <v>3.7852999999999999</v>
      </c>
      <c r="G37" s="32">
        <v>0.21</v>
      </c>
      <c r="H37" s="45">
        <v>768</v>
      </c>
      <c r="I37" s="32">
        <v>3862</v>
      </c>
      <c r="J37" s="32">
        <v>998</v>
      </c>
      <c r="K37" s="32">
        <v>126</v>
      </c>
      <c r="L37" s="32">
        <v>19</v>
      </c>
      <c r="M37" s="32">
        <v>17</v>
      </c>
      <c r="N37" s="32">
        <v>14</v>
      </c>
      <c r="O37" s="32">
        <v>34.82</v>
      </c>
      <c r="P37" s="32">
        <v>2.73</v>
      </c>
      <c r="Q37" s="32">
        <v>0.23</v>
      </c>
      <c r="R37" s="32" t="s">
        <v>172</v>
      </c>
      <c r="S37" s="32">
        <v>0.04</v>
      </c>
      <c r="T37" s="32" t="s">
        <v>172</v>
      </c>
      <c r="U37" s="32">
        <v>1.76</v>
      </c>
      <c r="V37" s="32" t="s">
        <v>172</v>
      </c>
      <c r="W37" s="32">
        <v>0.15</v>
      </c>
      <c r="X37" s="32" t="s">
        <v>172</v>
      </c>
      <c r="Y37" s="32">
        <v>1.66</v>
      </c>
      <c r="Z37" s="32">
        <v>0.02</v>
      </c>
      <c r="AA37" s="32" t="s">
        <v>172</v>
      </c>
      <c r="AB37" s="32">
        <v>0.15</v>
      </c>
      <c r="AC37" s="32">
        <v>0.01</v>
      </c>
      <c r="AD37" s="37"/>
      <c r="AE37" s="37"/>
      <c r="AF37" s="32"/>
      <c r="AG37" s="32"/>
      <c r="AH37" s="32"/>
      <c r="AI37" s="32"/>
      <c r="AJ37" s="32"/>
      <c r="AK37" s="32"/>
      <c r="AL37" s="32"/>
      <c r="AM37" s="32"/>
      <c r="AN37" s="37"/>
      <c r="AO37" s="37" t="s">
        <v>114</v>
      </c>
      <c r="AP37" s="32" t="s">
        <v>117</v>
      </c>
      <c r="AQ37" s="37" t="s">
        <v>125</v>
      </c>
      <c r="AR37" s="37" t="s">
        <v>175</v>
      </c>
      <c r="AS37" s="37"/>
    </row>
    <row r="38" spans="1:45" x14ac:dyDescent="0.35">
      <c r="A38" s="32">
        <v>35</v>
      </c>
      <c r="B38" s="33" t="s">
        <v>51</v>
      </c>
      <c r="C38" s="33" t="s">
        <v>40</v>
      </c>
      <c r="D38" s="33" t="s">
        <v>18</v>
      </c>
      <c r="E38" s="32"/>
      <c r="F38" s="35">
        <v>3.7039</v>
      </c>
      <c r="G38" s="32">
        <v>0.06</v>
      </c>
      <c r="H38" s="45">
        <v>648</v>
      </c>
      <c r="I38" s="32">
        <v>14357</v>
      </c>
      <c r="J38" s="32">
        <v>2785</v>
      </c>
      <c r="K38" s="32">
        <v>531</v>
      </c>
      <c r="L38" s="32">
        <v>21</v>
      </c>
      <c r="M38" s="32">
        <v>19</v>
      </c>
      <c r="N38" s="32">
        <v>16</v>
      </c>
      <c r="O38" s="32">
        <v>35.96</v>
      </c>
      <c r="P38" s="32">
        <v>0.87</v>
      </c>
      <c r="Q38" s="32">
        <v>0.55000000000000004</v>
      </c>
      <c r="R38" s="32" t="s">
        <v>172</v>
      </c>
      <c r="S38" s="32" t="s">
        <v>172</v>
      </c>
      <c r="T38" s="32" t="s">
        <v>172</v>
      </c>
      <c r="U38" s="32">
        <v>1.58</v>
      </c>
      <c r="V38" s="32" t="s">
        <v>172</v>
      </c>
      <c r="W38" s="32">
        <v>0.06</v>
      </c>
      <c r="X38" s="32" t="s">
        <v>172</v>
      </c>
      <c r="Y38" s="32">
        <v>0.1</v>
      </c>
      <c r="Z38" s="32" t="s">
        <v>172</v>
      </c>
      <c r="AA38" s="32" t="s">
        <v>172</v>
      </c>
      <c r="AB38" s="32">
        <v>0.03</v>
      </c>
      <c r="AC38" s="32">
        <v>0.01</v>
      </c>
      <c r="AD38" s="37"/>
      <c r="AE38" s="37"/>
      <c r="AF38" s="32"/>
      <c r="AG38" s="32"/>
      <c r="AH38" s="32"/>
      <c r="AI38" s="32"/>
      <c r="AJ38" s="32"/>
      <c r="AK38" s="32"/>
      <c r="AL38" s="32"/>
      <c r="AM38" s="32"/>
      <c r="AN38" s="37"/>
      <c r="AO38" s="37" t="s">
        <v>114</v>
      </c>
      <c r="AP38" s="32" t="s">
        <v>117</v>
      </c>
      <c r="AQ38" s="37" t="s">
        <v>123</v>
      </c>
      <c r="AR38" s="37" t="s">
        <v>175</v>
      </c>
      <c r="AS38" s="37"/>
    </row>
    <row r="39" spans="1:45" x14ac:dyDescent="0.35">
      <c r="A39" s="32">
        <v>36</v>
      </c>
      <c r="B39" s="33" t="s">
        <v>52</v>
      </c>
      <c r="C39" s="33" t="s">
        <v>53</v>
      </c>
      <c r="D39" s="33" t="s">
        <v>18</v>
      </c>
      <c r="E39" s="32"/>
      <c r="F39" s="35">
        <v>3.8616999999999999</v>
      </c>
      <c r="G39" s="32">
        <v>0.16</v>
      </c>
      <c r="H39" s="45">
        <v>602</v>
      </c>
      <c r="I39" s="32">
        <v>33018</v>
      </c>
      <c r="J39" s="32">
        <v>30676</v>
      </c>
      <c r="K39" s="32">
        <v>18635</v>
      </c>
      <c r="L39" s="32">
        <v>22</v>
      </c>
      <c r="M39" s="32">
        <v>22</v>
      </c>
      <c r="N39" s="32">
        <v>21</v>
      </c>
      <c r="O39" s="32">
        <v>36.159999999999997</v>
      </c>
      <c r="P39" s="32">
        <v>35.86</v>
      </c>
      <c r="Q39" s="32">
        <v>0.3</v>
      </c>
      <c r="R39" s="32">
        <v>0.14000000000000001</v>
      </c>
      <c r="S39" s="32">
        <v>0.04</v>
      </c>
      <c r="T39" s="32">
        <v>7.02</v>
      </c>
      <c r="U39" s="32">
        <v>2.08</v>
      </c>
      <c r="V39" s="32">
        <v>1.49</v>
      </c>
      <c r="W39" s="32">
        <v>4.38</v>
      </c>
      <c r="X39" s="32">
        <v>2.38</v>
      </c>
      <c r="Y39" s="32">
        <v>1.23</v>
      </c>
      <c r="Z39" s="32">
        <v>0.01</v>
      </c>
      <c r="AA39" s="32" t="s">
        <v>172</v>
      </c>
      <c r="AB39" s="32">
        <v>0.08</v>
      </c>
      <c r="AC39" s="32">
        <v>0.34</v>
      </c>
      <c r="AD39" s="37"/>
      <c r="AE39" s="37"/>
      <c r="AF39" s="32"/>
      <c r="AG39" s="32"/>
      <c r="AH39" s="32"/>
      <c r="AI39" s="32"/>
      <c r="AJ39" s="32"/>
      <c r="AK39" s="32"/>
      <c r="AL39" s="32"/>
      <c r="AM39" s="32"/>
      <c r="AN39" s="37"/>
      <c r="AO39" s="37" t="s">
        <v>114</v>
      </c>
      <c r="AP39" s="32" t="s">
        <v>117</v>
      </c>
      <c r="AQ39" s="37" t="s">
        <v>126</v>
      </c>
      <c r="AR39" s="37" t="s">
        <v>175</v>
      </c>
      <c r="AS39" s="37"/>
    </row>
    <row r="40" spans="1:45" x14ac:dyDescent="0.35">
      <c r="A40" s="32">
        <v>37</v>
      </c>
      <c r="B40" s="33" t="s">
        <v>54</v>
      </c>
      <c r="C40" s="33" t="s">
        <v>42</v>
      </c>
      <c r="D40" s="33" t="s">
        <v>18</v>
      </c>
      <c r="E40" s="32"/>
      <c r="F40" s="35">
        <v>4.1017999999999999</v>
      </c>
      <c r="G40" s="32">
        <v>0.11</v>
      </c>
      <c r="H40" s="32">
        <v>303</v>
      </c>
      <c r="I40" s="32">
        <v>29333</v>
      </c>
      <c r="J40" s="32">
        <v>16978</v>
      </c>
      <c r="K40" s="32">
        <v>2801</v>
      </c>
      <c r="L40" s="32">
        <v>22</v>
      </c>
      <c r="M40" s="32">
        <v>21</v>
      </c>
      <c r="N40" s="32">
        <v>19</v>
      </c>
      <c r="O40" s="32">
        <v>36.86</v>
      </c>
      <c r="P40" s="32">
        <v>2.68</v>
      </c>
      <c r="Q40" s="32">
        <v>0.17</v>
      </c>
      <c r="R40" s="32" t="s">
        <v>172</v>
      </c>
      <c r="S40" s="32">
        <v>0.21</v>
      </c>
      <c r="T40" s="32" t="s">
        <v>172</v>
      </c>
      <c r="U40" s="32">
        <v>1.07</v>
      </c>
      <c r="V40" s="32" t="s">
        <v>172</v>
      </c>
      <c r="W40" s="32">
        <v>0.13</v>
      </c>
      <c r="X40" s="32" t="s">
        <v>172</v>
      </c>
      <c r="Y40" s="32">
        <v>1.58</v>
      </c>
      <c r="Z40" s="32">
        <v>0.01</v>
      </c>
      <c r="AA40" s="32" t="s">
        <v>172</v>
      </c>
      <c r="AB40" s="32">
        <v>0.02</v>
      </c>
      <c r="AC40" s="32">
        <v>0.02</v>
      </c>
      <c r="AD40" s="37"/>
      <c r="AE40" s="37"/>
      <c r="AF40" s="32"/>
      <c r="AG40" s="32"/>
      <c r="AH40" s="32"/>
      <c r="AI40" s="32"/>
      <c r="AJ40" s="32"/>
      <c r="AK40" s="32"/>
      <c r="AL40" s="32"/>
      <c r="AM40" s="32"/>
      <c r="AN40" s="37"/>
      <c r="AO40" s="37" t="s">
        <v>114</v>
      </c>
      <c r="AP40" s="32" t="s">
        <v>117</v>
      </c>
      <c r="AQ40" s="37" t="s">
        <v>124</v>
      </c>
      <c r="AR40" s="37" t="s">
        <v>174</v>
      </c>
      <c r="AS40" s="37"/>
    </row>
    <row r="41" spans="1:45" x14ac:dyDescent="0.35">
      <c r="A41" s="32">
        <v>38</v>
      </c>
      <c r="B41" s="33" t="s">
        <v>55</v>
      </c>
      <c r="C41" s="33" t="s">
        <v>12</v>
      </c>
      <c r="D41" s="33" t="s">
        <v>187</v>
      </c>
      <c r="E41" s="32"/>
      <c r="F41" s="35">
        <v>3.5449000000000002</v>
      </c>
      <c r="G41" s="32">
        <v>0.13</v>
      </c>
      <c r="H41" s="32">
        <v>391</v>
      </c>
      <c r="I41" s="32">
        <v>12089</v>
      </c>
      <c r="J41" s="32">
        <v>4820</v>
      </c>
      <c r="K41" s="32">
        <v>781</v>
      </c>
      <c r="L41" s="32">
        <v>21</v>
      </c>
      <c r="M41" s="32">
        <v>19</v>
      </c>
      <c r="N41" s="32">
        <v>17</v>
      </c>
      <c r="O41" s="32">
        <v>34.36</v>
      </c>
      <c r="P41" s="32">
        <v>0.18</v>
      </c>
      <c r="Q41" s="32">
        <v>0.05</v>
      </c>
      <c r="R41" s="32" t="s">
        <v>172</v>
      </c>
      <c r="S41" s="32">
        <v>0.03</v>
      </c>
      <c r="T41" s="32" t="s">
        <v>172</v>
      </c>
      <c r="U41" s="32">
        <v>1.66</v>
      </c>
      <c r="V41" s="32" t="s">
        <v>172</v>
      </c>
      <c r="W41" s="32">
        <v>0.02</v>
      </c>
      <c r="X41" s="32" t="s">
        <v>172</v>
      </c>
      <c r="Y41" s="32">
        <v>0</v>
      </c>
      <c r="Z41" s="32" t="s">
        <v>172</v>
      </c>
      <c r="AA41" s="32" t="s">
        <v>172</v>
      </c>
      <c r="AB41" s="32">
        <v>0.34</v>
      </c>
      <c r="AC41" s="32">
        <v>0.01</v>
      </c>
      <c r="AD41" s="37"/>
      <c r="AE41" s="37"/>
      <c r="AF41" s="32"/>
      <c r="AG41" s="32"/>
      <c r="AH41" s="32"/>
      <c r="AI41" s="32"/>
      <c r="AJ41" s="32"/>
      <c r="AK41" s="32"/>
      <c r="AL41" s="32"/>
      <c r="AM41" s="32"/>
      <c r="AN41" s="37"/>
      <c r="AO41" s="37" t="s">
        <v>115</v>
      </c>
      <c r="AP41" s="32" t="s">
        <v>117</v>
      </c>
      <c r="AQ41" s="37" t="s">
        <v>119</v>
      </c>
      <c r="AR41" s="37" t="s">
        <v>174</v>
      </c>
      <c r="AS41" s="37"/>
    </row>
    <row r="42" spans="1:45" x14ac:dyDescent="0.35">
      <c r="A42" s="32">
        <v>39</v>
      </c>
      <c r="B42" s="33" t="s">
        <v>56</v>
      </c>
      <c r="C42" s="33" t="s">
        <v>14</v>
      </c>
      <c r="D42" s="33" t="s">
        <v>187</v>
      </c>
      <c r="E42" s="32"/>
      <c r="F42" s="35">
        <v>3.42</v>
      </c>
      <c r="G42" s="32">
        <v>0.14000000000000001</v>
      </c>
      <c r="H42" s="32">
        <v>311</v>
      </c>
      <c r="I42" s="37">
        <v>15881</v>
      </c>
      <c r="J42" s="37">
        <v>5385</v>
      </c>
      <c r="K42" s="37">
        <v>312</v>
      </c>
      <c r="L42" s="32">
        <v>21</v>
      </c>
      <c r="M42" s="32">
        <v>20</v>
      </c>
      <c r="N42" s="32">
        <v>15</v>
      </c>
      <c r="O42" s="32">
        <v>34.880000000000003</v>
      </c>
      <c r="P42" s="32">
        <v>0.27</v>
      </c>
      <c r="Q42" s="32">
        <v>0.12</v>
      </c>
      <c r="R42" s="32" t="s">
        <v>172</v>
      </c>
      <c r="S42" s="32">
        <v>0.1</v>
      </c>
      <c r="T42" s="32" t="s">
        <v>172</v>
      </c>
      <c r="U42" s="32">
        <v>0.9</v>
      </c>
      <c r="V42" s="32" t="s">
        <v>172</v>
      </c>
      <c r="W42" s="32" t="s">
        <v>172</v>
      </c>
      <c r="X42" s="32" t="s">
        <v>172</v>
      </c>
      <c r="Y42" s="32">
        <v>2.4900000000000002</v>
      </c>
      <c r="Z42" s="32" t="s">
        <v>172</v>
      </c>
      <c r="AA42" s="32" t="s">
        <v>172</v>
      </c>
      <c r="AB42" s="32">
        <v>0.03</v>
      </c>
      <c r="AC42" s="32" t="s">
        <v>172</v>
      </c>
      <c r="AD42" s="37"/>
      <c r="AE42" s="37">
        <v>0.123</v>
      </c>
      <c r="AF42" s="32">
        <v>7.0000000000000007E-2</v>
      </c>
      <c r="AG42" s="32" t="s">
        <v>107</v>
      </c>
      <c r="AH42" s="32">
        <v>7.0000000000000001E-3</v>
      </c>
      <c r="AI42" s="32">
        <v>36</v>
      </c>
      <c r="AJ42" s="32">
        <v>3</v>
      </c>
      <c r="AK42" s="32" t="s">
        <v>154</v>
      </c>
      <c r="AL42" s="32">
        <v>10</v>
      </c>
      <c r="AM42" s="42"/>
      <c r="AN42" s="43"/>
      <c r="AO42" s="37" t="s">
        <v>115</v>
      </c>
      <c r="AP42" s="32" t="s">
        <v>117</v>
      </c>
      <c r="AQ42" s="37" t="s">
        <v>120</v>
      </c>
      <c r="AR42" s="37" t="s">
        <v>174</v>
      </c>
      <c r="AS42" s="37"/>
    </row>
    <row r="43" spans="1:45" x14ac:dyDescent="0.35">
      <c r="A43" s="32">
        <v>40</v>
      </c>
      <c r="B43" s="33" t="s">
        <v>57</v>
      </c>
      <c r="C43" s="33" t="s">
        <v>38</v>
      </c>
      <c r="D43" s="33" t="s">
        <v>187</v>
      </c>
      <c r="E43" s="32"/>
      <c r="F43" s="35">
        <v>3.5648</v>
      </c>
      <c r="G43" s="32">
        <v>0.16</v>
      </c>
      <c r="H43" s="32">
        <v>389</v>
      </c>
      <c r="I43" s="37">
        <v>7193</v>
      </c>
      <c r="J43" s="37">
        <v>880</v>
      </c>
      <c r="K43" s="37">
        <v>41</v>
      </c>
      <c r="L43" s="32">
        <v>20</v>
      </c>
      <c r="M43" s="32">
        <v>17</v>
      </c>
      <c r="N43" s="32">
        <v>13</v>
      </c>
      <c r="O43" s="32">
        <v>34.74</v>
      </c>
      <c r="P43" s="32">
        <v>0.11</v>
      </c>
      <c r="Q43" s="32">
        <v>0.05</v>
      </c>
      <c r="R43" s="32">
        <v>0.05</v>
      </c>
      <c r="S43" s="32">
        <v>0.08</v>
      </c>
      <c r="T43" s="32" t="s">
        <v>172</v>
      </c>
      <c r="U43" s="32">
        <v>1.45</v>
      </c>
      <c r="V43" s="32" t="s">
        <v>172</v>
      </c>
      <c r="W43" s="32">
        <v>0.03</v>
      </c>
      <c r="X43" s="32" t="s">
        <v>172</v>
      </c>
      <c r="Y43" s="32">
        <v>1.21</v>
      </c>
      <c r="Z43" s="32">
        <v>0.03</v>
      </c>
      <c r="AA43" s="32" t="s">
        <v>172</v>
      </c>
      <c r="AB43" s="32">
        <v>0.12</v>
      </c>
      <c r="AC43" s="32" t="s">
        <v>172</v>
      </c>
      <c r="AD43" s="37"/>
      <c r="AE43" s="37"/>
      <c r="AF43" s="32"/>
      <c r="AG43" s="32"/>
      <c r="AH43" s="32"/>
      <c r="AI43" s="32"/>
      <c r="AJ43" s="32"/>
      <c r="AK43" s="32"/>
      <c r="AL43" s="32"/>
      <c r="AM43" s="32"/>
      <c r="AN43" s="37"/>
      <c r="AO43" s="37" t="s">
        <v>115</v>
      </c>
      <c r="AP43" s="32" t="s">
        <v>117</v>
      </c>
      <c r="AQ43" s="37" t="s">
        <v>127</v>
      </c>
      <c r="AR43" s="37" t="s">
        <v>174</v>
      </c>
      <c r="AS43" s="37"/>
    </row>
    <row r="44" spans="1:45" x14ac:dyDescent="0.35">
      <c r="A44" s="32">
        <v>41</v>
      </c>
      <c r="B44" s="33" t="s">
        <v>58</v>
      </c>
      <c r="C44" s="33" t="s">
        <v>40</v>
      </c>
      <c r="D44" s="33" t="s">
        <v>18</v>
      </c>
      <c r="E44" s="32"/>
      <c r="F44" s="35">
        <v>3.5933999999999999</v>
      </c>
      <c r="G44" s="32">
        <v>0.16</v>
      </c>
      <c r="H44" s="45">
        <v>452</v>
      </c>
      <c r="I44" s="37">
        <v>11851</v>
      </c>
      <c r="J44" s="37">
        <v>4578</v>
      </c>
      <c r="K44" s="37">
        <v>569</v>
      </c>
      <c r="L44" s="32">
        <v>21</v>
      </c>
      <c r="M44" s="32">
        <v>19</v>
      </c>
      <c r="N44" s="32">
        <v>16</v>
      </c>
      <c r="O44" s="32">
        <v>34.81</v>
      </c>
      <c r="P44" s="32">
        <v>0.21</v>
      </c>
      <c r="Q44" s="32">
        <v>0.08</v>
      </c>
      <c r="R44" s="32" t="s">
        <v>172</v>
      </c>
      <c r="S44" s="32" t="s">
        <v>172</v>
      </c>
      <c r="T44" s="32" t="s">
        <v>172</v>
      </c>
      <c r="U44" s="32">
        <v>1.48</v>
      </c>
      <c r="V44" s="32" t="s">
        <v>172</v>
      </c>
      <c r="W44" s="32">
        <v>0.01</v>
      </c>
      <c r="X44" s="32" t="s">
        <v>172</v>
      </c>
      <c r="Y44" s="32">
        <v>4.45</v>
      </c>
      <c r="Z44" s="32">
        <v>7.0000000000000007E-2</v>
      </c>
      <c r="AA44" s="32" t="s">
        <v>172</v>
      </c>
      <c r="AB44" s="32">
        <v>0.01</v>
      </c>
      <c r="AC44" s="32" t="s">
        <v>172</v>
      </c>
      <c r="AD44" s="37"/>
      <c r="AE44" s="37"/>
      <c r="AF44" s="32"/>
      <c r="AG44" s="32"/>
      <c r="AH44" s="32"/>
      <c r="AI44" s="32"/>
      <c r="AJ44" s="32"/>
      <c r="AK44" s="32"/>
      <c r="AL44" s="32"/>
      <c r="AM44" s="32"/>
      <c r="AN44" s="37"/>
      <c r="AO44" s="37" t="s">
        <v>115</v>
      </c>
      <c r="AP44" s="32" t="s">
        <v>117</v>
      </c>
      <c r="AQ44" s="37" t="s">
        <v>123</v>
      </c>
      <c r="AR44" s="37" t="s">
        <v>175</v>
      </c>
      <c r="AS44" s="37"/>
    </row>
    <row r="45" spans="1:45" x14ac:dyDescent="0.35">
      <c r="A45" s="32">
        <v>42</v>
      </c>
      <c r="B45" s="33" t="s">
        <v>59</v>
      </c>
      <c r="C45" s="33" t="s">
        <v>42</v>
      </c>
      <c r="D45" s="33" t="s">
        <v>18</v>
      </c>
      <c r="E45" s="32"/>
      <c r="F45" s="35">
        <v>3.5947</v>
      </c>
      <c r="G45" s="32">
        <v>0.03</v>
      </c>
      <c r="H45" s="32">
        <v>359</v>
      </c>
      <c r="I45" s="37">
        <v>25674</v>
      </c>
      <c r="J45" s="37">
        <v>13055</v>
      </c>
      <c r="K45" s="37">
        <v>1401</v>
      </c>
      <c r="L45" s="32">
        <v>22</v>
      </c>
      <c r="M45" s="32">
        <v>21</v>
      </c>
      <c r="N45" s="32">
        <v>18</v>
      </c>
      <c r="O45" s="32">
        <v>34.74</v>
      </c>
      <c r="P45" s="32">
        <v>0.28999999999999998</v>
      </c>
      <c r="Q45" s="32">
        <v>0.1</v>
      </c>
      <c r="R45" s="32" t="s">
        <v>172</v>
      </c>
      <c r="S45" s="32">
        <v>0.01</v>
      </c>
      <c r="T45" s="32" t="s">
        <v>172</v>
      </c>
      <c r="U45" s="32">
        <v>1.45</v>
      </c>
      <c r="V45" s="32" t="s">
        <v>172</v>
      </c>
      <c r="W45" s="32">
        <v>0.01</v>
      </c>
      <c r="X45" s="32" t="s">
        <v>172</v>
      </c>
      <c r="Y45" s="32" t="s">
        <v>172</v>
      </c>
      <c r="Z45" s="32">
        <v>7.0000000000000007E-2</v>
      </c>
      <c r="AA45" s="32" t="s">
        <v>172</v>
      </c>
      <c r="AB45" s="32">
        <v>0.05</v>
      </c>
      <c r="AC45" s="32" t="s">
        <v>172</v>
      </c>
      <c r="AD45" s="37"/>
      <c r="AE45" s="37"/>
      <c r="AF45" s="32"/>
      <c r="AG45" s="32"/>
      <c r="AH45" s="32"/>
      <c r="AI45" s="32"/>
      <c r="AJ45" s="32"/>
      <c r="AK45" s="32"/>
      <c r="AL45" s="32"/>
      <c r="AM45" s="32"/>
      <c r="AN45" s="37"/>
      <c r="AO45" s="37" t="s">
        <v>115</v>
      </c>
      <c r="AP45" s="32" t="s">
        <v>117</v>
      </c>
      <c r="AQ45" s="37" t="s">
        <v>124</v>
      </c>
      <c r="AR45" s="37" t="s">
        <v>174</v>
      </c>
      <c r="AS45" s="37"/>
    </row>
    <row r="46" spans="1:45" x14ac:dyDescent="0.35">
      <c r="A46" s="32">
        <v>43</v>
      </c>
      <c r="B46" s="33" t="s">
        <v>60</v>
      </c>
      <c r="C46" s="33" t="s">
        <v>185</v>
      </c>
      <c r="D46" s="33" t="s">
        <v>188</v>
      </c>
      <c r="E46" s="32"/>
      <c r="F46" s="35">
        <v>3.4329000000000001</v>
      </c>
      <c r="G46" s="32">
        <v>0.13</v>
      </c>
      <c r="H46" s="32">
        <v>359</v>
      </c>
      <c r="I46" s="37">
        <v>14916</v>
      </c>
      <c r="J46" s="37">
        <v>4696</v>
      </c>
      <c r="K46" s="37">
        <v>238</v>
      </c>
      <c r="L46" s="32">
        <v>21</v>
      </c>
      <c r="M46" s="32">
        <v>19</v>
      </c>
      <c r="N46" s="32">
        <v>15</v>
      </c>
      <c r="O46" s="32">
        <v>36</v>
      </c>
      <c r="P46" s="32">
        <v>0.2</v>
      </c>
      <c r="Q46" s="32">
        <v>0.04</v>
      </c>
      <c r="R46" s="32" t="s">
        <v>172</v>
      </c>
      <c r="S46" s="32">
        <v>0.09</v>
      </c>
      <c r="T46" s="32" t="s">
        <v>172</v>
      </c>
      <c r="U46" s="32">
        <v>1.0900000000000001</v>
      </c>
      <c r="V46" s="32" t="s">
        <v>172</v>
      </c>
      <c r="W46" s="32" t="s">
        <v>172</v>
      </c>
      <c r="X46" s="32" t="s">
        <v>172</v>
      </c>
      <c r="Y46" s="32">
        <v>2.44</v>
      </c>
      <c r="Z46" s="32">
        <v>0.05</v>
      </c>
      <c r="AA46" s="32" t="s">
        <v>172</v>
      </c>
      <c r="AB46" s="32">
        <v>0.02</v>
      </c>
      <c r="AC46" s="32" t="s">
        <v>172</v>
      </c>
      <c r="AD46" s="37"/>
      <c r="AE46" s="37">
        <v>0.13200000000000001</v>
      </c>
      <c r="AF46" s="32">
        <v>7.0000000000000007E-2</v>
      </c>
      <c r="AG46" s="32" t="s">
        <v>107</v>
      </c>
      <c r="AH46" s="32">
        <v>8.9999999999999993E-3</v>
      </c>
      <c r="AI46" s="32">
        <v>36</v>
      </c>
      <c r="AJ46" s="32">
        <v>2.5</v>
      </c>
      <c r="AK46" s="32" t="s">
        <v>154</v>
      </c>
      <c r="AL46" s="32">
        <v>10</v>
      </c>
      <c r="AM46" s="42"/>
      <c r="AN46" s="43"/>
      <c r="AO46" s="37" t="s">
        <v>115</v>
      </c>
      <c r="AP46" s="32" t="s">
        <v>117</v>
      </c>
      <c r="AQ46" s="37" t="s">
        <v>128</v>
      </c>
      <c r="AR46" s="37" t="s">
        <v>174</v>
      </c>
      <c r="AS46" s="37"/>
    </row>
    <row r="47" spans="1:45" x14ac:dyDescent="0.35">
      <c r="A47" s="61">
        <v>44</v>
      </c>
      <c r="B47" s="62" t="s">
        <v>178</v>
      </c>
      <c r="C47" s="62" t="s">
        <v>179</v>
      </c>
      <c r="D47" s="33" t="s">
        <v>187</v>
      </c>
      <c r="E47" s="61"/>
      <c r="F47" s="63"/>
      <c r="G47" s="61">
        <v>0.17</v>
      </c>
      <c r="H47" s="61">
        <v>376</v>
      </c>
      <c r="I47" s="64">
        <v>7279</v>
      </c>
      <c r="J47" s="64">
        <v>2531</v>
      </c>
      <c r="K47" s="64">
        <v>141</v>
      </c>
      <c r="L47" s="61">
        <v>20</v>
      </c>
      <c r="M47" s="61">
        <v>19</v>
      </c>
      <c r="N47" s="61">
        <v>14</v>
      </c>
      <c r="O47" s="61">
        <v>37.9</v>
      </c>
      <c r="P47" s="61">
        <v>0.27</v>
      </c>
      <c r="Q47" s="61">
        <v>0.02</v>
      </c>
      <c r="R47" s="61">
        <v>0.08</v>
      </c>
      <c r="S47" s="61">
        <v>0.11</v>
      </c>
      <c r="T47" s="32" t="s">
        <v>172</v>
      </c>
      <c r="U47" s="61">
        <v>0.47</v>
      </c>
      <c r="V47" s="32" t="s">
        <v>172</v>
      </c>
      <c r="W47" s="32" t="s">
        <v>172</v>
      </c>
      <c r="X47" s="61">
        <v>0.09</v>
      </c>
      <c r="Y47" s="61">
        <v>0.23</v>
      </c>
      <c r="Z47" s="61">
        <v>0.02</v>
      </c>
      <c r="AA47" s="32" t="s">
        <v>172</v>
      </c>
      <c r="AB47" s="32" t="s">
        <v>172</v>
      </c>
      <c r="AC47" s="32" t="s">
        <v>172</v>
      </c>
      <c r="AD47" s="64">
        <v>0.08</v>
      </c>
      <c r="AE47" s="64">
        <v>8.3000000000000004E-2</v>
      </c>
      <c r="AF47" s="61">
        <v>0.09</v>
      </c>
      <c r="AG47" s="61" t="s">
        <v>107</v>
      </c>
      <c r="AH47" s="61">
        <v>8.0000000000000002E-3</v>
      </c>
      <c r="AI47" s="61">
        <v>55.5</v>
      </c>
      <c r="AJ47" s="61">
        <v>2</v>
      </c>
      <c r="AK47" s="61"/>
      <c r="AL47" s="61">
        <v>12</v>
      </c>
      <c r="AM47" s="65"/>
      <c r="AN47" s="66"/>
      <c r="AO47" s="64"/>
      <c r="AP47" s="61"/>
      <c r="AQ47" s="64" t="s">
        <v>177</v>
      </c>
      <c r="AR47" s="64"/>
      <c r="AS47" s="64"/>
    </row>
    <row r="48" spans="1:45" x14ac:dyDescent="0.35">
      <c r="A48" s="61"/>
      <c r="B48" s="62"/>
      <c r="C48" s="62"/>
      <c r="D48" s="62"/>
      <c r="E48" s="61"/>
      <c r="F48" s="63"/>
      <c r="G48" s="61"/>
      <c r="H48" s="61"/>
      <c r="I48" s="64"/>
      <c r="J48" s="64"/>
      <c r="K48" s="64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4"/>
      <c r="AE48" s="64"/>
      <c r="AF48" s="61"/>
      <c r="AG48" s="61"/>
      <c r="AH48" s="61"/>
      <c r="AI48" s="61"/>
      <c r="AJ48" s="61"/>
      <c r="AK48" s="61"/>
      <c r="AL48" s="61"/>
      <c r="AM48" s="65"/>
      <c r="AN48" s="66"/>
      <c r="AO48" s="64"/>
      <c r="AP48" s="61"/>
      <c r="AQ48" s="64"/>
      <c r="AR48" s="64"/>
      <c r="AS48" s="64"/>
    </row>
    <row r="50" spans="1:45" x14ac:dyDescent="0.35">
      <c r="A50" s="17"/>
      <c r="B50" s="21" t="s">
        <v>85</v>
      </c>
      <c r="C50" s="22" t="s">
        <v>86</v>
      </c>
      <c r="D50" s="22"/>
      <c r="E50" s="17">
        <v>815</v>
      </c>
      <c r="F50" s="28">
        <v>2</v>
      </c>
      <c r="G50" s="30" t="s">
        <v>84</v>
      </c>
      <c r="H50" s="30" t="s">
        <v>84</v>
      </c>
      <c r="I50" s="18"/>
      <c r="J50" s="18"/>
      <c r="K50" s="18"/>
      <c r="L50" s="17"/>
      <c r="M50" s="17"/>
      <c r="N50" s="17"/>
      <c r="O50" s="60">
        <v>35</v>
      </c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8"/>
      <c r="AE50" s="18"/>
      <c r="AF50" s="25" t="s">
        <v>84</v>
      </c>
      <c r="AG50" s="25" t="s">
        <v>84</v>
      </c>
      <c r="AH50" s="25" t="s">
        <v>84</v>
      </c>
      <c r="AI50" s="25" t="s">
        <v>84</v>
      </c>
      <c r="AJ50" s="25" t="s">
        <v>84</v>
      </c>
      <c r="AK50" s="17">
        <v>35</v>
      </c>
      <c r="AL50" s="25" t="s">
        <v>84</v>
      </c>
      <c r="AM50" s="25" t="s">
        <v>84</v>
      </c>
      <c r="AN50" s="25" t="s">
        <v>84</v>
      </c>
      <c r="AO50" s="25"/>
      <c r="AP50" s="25"/>
      <c r="AQ50" s="25"/>
      <c r="AR50" s="25"/>
      <c r="AS50" s="18"/>
    </row>
    <row r="51" spans="1:45" x14ac:dyDescent="0.35">
      <c r="A51" s="19"/>
      <c r="B51" s="23"/>
      <c r="C51" s="24" t="s">
        <v>87</v>
      </c>
      <c r="D51" s="24"/>
      <c r="E51" s="19">
        <v>880</v>
      </c>
      <c r="F51" s="29">
        <v>5</v>
      </c>
      <c r="G51" s="19">
        <v>0.6</v>
      </c>
      <c r="H51" s="19">
        <v>400</v>
      </c>
      <c r="I51" s="20"/>
      <c r="J51" s="20"/>
      <c r="K51" s="20"/>
      <c r="L51" s="26" t="s">
        <v>84</v>
      </c>
      <c r="M51" s="26" t="s">
        <v>84</v>
      </c>
      <c r="N51" s="26" t="s">
        <v>84</v>
      </c>
      <c r="O51" s="60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20"/>
      <c r="AE51" s="20"/>
      <c r="AF51" s="19">
        <v>0.2</v>
      </c>
      <c r="AG51" s="19" t="s">
        <v>109</v>
      </c>
      <c r="AH51" s="19">
        <v>0.01</v>
      </c>
      <c r="AI51" s="26" t="s">
        <v>84</v>
      </c>
      <c r="AJ51" s="19">
        <v>3</v>
      </c>
      <c r="AK51" s="26" t="s">
        <v>84</v>
      </c>
      <c r="AL51" s="26" t="s">
        <v>84</v>
      </c>
      <c r="AM51" s="26" t="s">
        <v>84</v>
      </c>
      <c r="AN51" s="26" t="s">
        <v>84</v>
      </c>
      <c r="AO51" s="26"/>
      <c r="AP51" s="26"/>
      <c r="AQ51" s="26"/>
      <c r="AR51" s="26"/>
      <c r="AS51" s="20"/>
    </row>
    <row r="52" spans="1:45" ht="10.5" customHeight="1" x14ac:dyDescent="0.35"/>
    <row r="53" spans="1:45" x14ac:dyDescent="0.35">
      <c r="A53" s="21" t="s">
        <v>151</v>
      </c>
      <c r="B53" s="21"/>
      <c r="C53" s="22" t="s">
        <v>86</v>
      </c>
      <c r="D53" s="22"/>
      <c r="E53" s="17">
        <v>815</v>
      </c>
      <c r="F53" s="28">
        <v>2</v>
      </c>
      <c r="G53" s="18"/>
      <c r="H53" s="18"/>
      <c r="I53" s="18"/>
      <c r="J53" s="18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8"/>
      <c r="AE53" s="18"/>
      <c r="AF53" s="17"/>
      <c r="AG53" s="17"/>
      <c r="AH53" s="17"/>
      <c r="AI53" s="17"/>
      <c r="AJ53" s="17"/>
      <c r="AK53" s="17">
        <v>35</v>
      </c>
      <c r="AL53" s="17"/>
      <c r="AM53" s="17"/>
      <c r="AN53" s="18"/>
      <c r="AO53" s="18"/>
      <c r="AP53" s="17"/>
      <c r="AQ53" s="18"/>
      <c r="AR53" s="18"/>
      <c r="AS53" s="18"/>
    </row>
    <row r="54" spans="1:45" x14ac:dyDescent="0.35">
      <c r="A54" s="31"/>
      <c r="B54" s="23"/>
      <c r="C54" s="24" t="s">
        <v>87</v>
      </c>
      <c r="D54" s="24"/>
      <c r="E54" s="19">
        <v>850</v>
      </c>
      <c r="F54" s="29">
        <v>4</v>
      </c>
      <c r="G54" s="19">
        <v>0.08</v>
      </c>
      <c r="H54" s="19">
        <v>200</v>
      </c>
      <c r="I54" s="20"/>
      <c r="J54" s="20"/>
      <c r="K54" s="20"/>
      <c r="L54" s="19">
        <v>18</v>
      </c>
      <c r="M54" s="19">
        <v>16</v>
      </c>
      <c r="N54" s="19">
        <v>13</v>
      </c>
      <c r="O54" s="19"/>
      <c r="P54" s="19" t="s">
        <v>150</v>
      </c>
      <c r="Q54" s="19" t="s">
        <v>150</v>
      </c>
      <c r="R54" s="19"/>
      <c r="S54" s="19"/>
      <c r="T54" s="19" t="s">
        <v>150</v>
      </c>
      <c r="U54" s="19"/>
      <c r="V54" s="19"/>
      <c r="W54" s="19"/>
      <c r="X54" s="19" t="s">
        <v>150</v>
      </c>
      <c r="Y54" s="19"/>
      <c r="Z54" s="19"/>
      <c r="AA54" s="19" t="s">
        <v>150</v>
      </c>
      <c r="AB54" s="19"/>
      <c r="AC54" s="19" t="s">
        <v>150</v>
      </c>
      <c r="AD54" s="20"/>
      <c r="AE54" s="20"/>
      <c r="AF54" s="19">
        <f>300/10000</f>
        <v>0.03</v>
      </c>
      <c r="AG54" s="19" t="s">
        <v>109</v>
      </c>
      <c r="AH54" s="19"/>
      <c r="AI54" s="19">
        <v>10</v>
      </c>
      <c r="AJ54" s="19"/>
      <c r="AK54" s="19"/>
      <c r="AL54" s="19" t="s">
        <v>152</v>
      </c>
      <c r="AM54" s="19"/>
      <c r="AN54" s="20"/>
      <c r="AO54" s="20"/>
      <c r="AP54" s="19"/>
      <c r="AQ54" s="20"/>
      <c r="AR54" s="20"/>
      <c r="AS54" s="20"/>
    </row>
    <row r="56" spans="1:45" x14ac:dyDescent="0.35">
      <c r="A56" s="47" t="s">
        <v>176</v>
      </c>
      <c r="B56" s="47"/>
      <c r="C56" s="48" t="s">
        <v>86</v>
      </c>
      <c r="D56" s="48"/>
      <c r="E56" s="49">
        <v>820</v>
      </c>
      <c r="F56" s="50">
        <v>2</v>
      </c>
      <c r="G56" s="51" t="s">
        <v>84</v>
      </c>
      <c r="H56" s="52"/>
      <c r="I56" s="52"/>
      <c r="J56" s="52"/>
      <c r="K56" s="52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52"/>
      <c r="AE56" s="52"/>
      <c r="AF56" s="49"/>
      <c r="AG56" s="49"/>
      <c r="AH56" s="49"/>
      <c r="AI56" s="49"/>
      <c r="AJ56" s="49"/>
      <c r="AK56" s="49"/>
      <c r="AL56" s="49"/>
      <c r="AM56" s="49"/>
      <c r="AN56" s="52"/>
      <c r="AO56" s="52"/>
      <c r="AP56" s="49"/>
      <c r="AQ56" s="52"/>
      <c r="AR56" s="52"/>
      <c r="AS56" s="52"/>
    </row>
    <row r="57" spans="1:45" x14ac:dyDescent="0.35">
      <c r="A57" s="53"/>
      <c r="B57" s="54"/>
      <c r="C57" s="55" t="s">
        <v>87</v>
      </c>
      <c r="D57" s="55"/>
      <c r="E57" s="56">
        <v>860</v>
      </c>
      <c r="F57" s="57">
        <v>4.5</v>
      </c>
      <c r="G57" s="58" t="s">
        <v>84</v>
      </c>
      <c r="H57" s="56">
        <v>500</v>
      </c>
      <c r="I57" s="59"/>
      <c r="J57" s="59"/>
      <c r="K57" s="59"/>
      <c r="L57" s="56"/>
      <c r="M57" s="56"/>
      <c r="N57" s="56"/>
      <c r="O57" s="56">
        <v>5</v>
      </c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9"/>
      <c r="AE57" s="59"/>
      <c r="AF57" s="56">
        <v>0.2</v>
      </c>
      <c r="AG57" s="56" t="s">
        <v>109</v>
      </c>
      <c r="AH57" s="56"/>
      <c r="AI57" s="56"/>
      <c r="AJ57" s="56"/>
      <c r="AK57" s="56">
        <v>30</v>
      </c>
      <c r="AL57" s="56"/>
      <c r="AM57" s="56"/>
      <c r="AN57" s="59"/>
      <c r="AO57" s="59"/>
      <c r="AP57" s="56"/>
      <c r="AQ57" s="59"/>
      <c r="AR57" s="59"/>
      <c r="AS57" s="59"/>
    </row>
  </sheetData>
  <mergeCells count="1">
    <mergeCell ref="O50:O51"/>
  </mergeCells>
  <phoneticPr fontId="6" type="noConversion"/>
  <pageMargins left="0.7" right="0.7" top="0.75" bottom="0.75" header="0.3" footer="0.3"/>
  <pageSetup paperSize="9" orientation="portrait" horizontalDpi="4294967293" verticalDpi="0" r:id="rId1"/>
  <ignoredErrors>
    <ignoredError sqref="Y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BT2MP2019</dc:creator>
  <cp:lastModifiedBy>BT2MP2019</cp:lastModifiedBy>
  <dcterms:created xsi:type="dcterms:W3CDTF">2024-06-07T08:15:05Z</dcterms:created>
  <dcterms:modified xsi:type="dcterms:W3CDTF">2025-08-11T15:18:21Z</dcterms:modified>
</cp:coreProperties>
</file>